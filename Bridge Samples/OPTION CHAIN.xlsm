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OPTION_CHAIN" sheetId="32" r:id="rId2"/>
  </sheets>
  <functionGroups/>
  <definedNames>
    <definedName name="DAYS_TO_EXPIRY" localSheetId="1">OPTION_CHAIN!$C$8</definedName>
    <definedName name="DIVIDEND_YIELD" localSheetId="1">OPTION_CHAIN!$C$7</definedName>
    <definedName name="EXPIRY_FUT" localSheetId="1">OPTION_CHAIN!$C$3</definedName>
    <definedName name="EXPIRY_OPT" localSheetId="1">OPTION_CHAIN!$C$4</definedName>
    <definedName name="INTEREST_RATE" localSheetId="1">OPTION_CHAIN!$C$6</definedName>
    <definedName name="LTP_TRACK" localSheetId="1">OPTION_CHAIN!$C$16</definedName>
    <definedName name="OPEN_TRACK" localSheetId="1">OPTION_CHAIN!$C$17</definedName>
    <definedName name="PING">STATUS!$C$4</definedName>
    <definedName name="STRIKE_INTERVAL" localSheetId="1">OPTION_CHAIN!$C$18</definedName>
    <definedName name="SYMBOL" localSheetId="1">OPTION_CHAIN!$C$2</definedName>
    <definedName name="VOLATILITY" localSheetId="1">OPTION_CHAIN!$C$5</definedName>
  </definedNames>
  <calcPr calcId="124519" calcOnSave="0"/>
</workbook>
</file>

<file path=xl/calcChain.xml><?xml version="1.0" encoding="utf-8"?>
<calcChain xmlns="http://schemas.openxmlformats.org/spreadsheetml/2006/main">
  <c r="C10" i="32"/>
  <c r="C4" i="37"/>
  <c r="C12" i="32"/>
  <c r="C5" i="37"/>
  <c r="C4" i="32"/>
  <c r="C3"/>
  <c r="C14"/>
  <c r="C6" i="37"/>
  <c r="C7"/>
  <c r="C11" i="32" l="1"/>
  <c r="C18"/>
  <c r="C15"/>
  <c r="C17"/>
  <c r="C13"/>
  <c r="C16" l="1"/>
  <c r="C8"/>
  <c r="L13" l="1"/>
  <c r="M13" l="1"/>
  <c r="K13"/>
  <c r="L12"/>
  <c r="L14"/>
  <c r="S13"/>
  <c r="P13"/>
  <c r="J13"/>
  <c r="H13"/>
  <c r="E13"/>
  <c r="I13"/>
  <c r="N13"/>
  <c r="R13"/>
  <c r="O13"/>
  <c r="F13"/>
  <c r="M14" l="1"/>
  <c r="K14"/>
  <c r="M12"/>
  <c r="K12"/>
  <c r="L15"/>
  <c r="L11"/>
  <c r="G13"/>
  <c r="J12"/>
  <c r="H12"/>
  <c r="E12"/>
  <c r="S14"/>
  <c r="P14"/>
  <c r="N12"/>
  <c r="R12"/>
  <c r="O12"/>
  <c r="I14"/>
  <c r="F14"/>
  <c r="Q13"/>
  <c r="I12"/>
  <c r="F12"/>
  <c r="N14"/>
  <c r="R14"/>
  <c r="O14"/>
  <c r="S12"/>
  <c r="P12"/>
  <c r="J14"/>
  <c r="H14"/>
  <c r="E14"/>
  <c r="M11" l="1"/>
  <c r="K11"/>
  <c r="M15"/>
  <c r="K15"/>
  <c r="L16"/>
  <c r="L10"/>
  <c r="G14"/>
  <c r="Q14"/>
  <c r="N11"/>
  <c r="R11"/>
  <c r="O11"/>
  <c r="S15"/>
  <c r="P15"/>
  <c r="J11"/>
  <c r="H11"/>
  <c r="E11"/>
  <c r="I15"/>
  <c r="F15"/>
  <c r="Q12"/>
  <c r="G12"/>
  <c r="S11"/>
  <c r="P11"/>
  <c r="N15"/>
  <c r="R15"/>
  <c r="O15"/>
  <c r="I11"/>
  <c r="F11"/>
  <c r="J15"/>
  <c r="H15"/>
  <c r="E15"/>
  <c r="M10" l="1"/>
  <c r="K10"/>
  <c r="M16"/>
  <c r="K16"/>
  <c r="L9"/>
  <c r="L17"/>
  <c r="G15"/>
  <c r="G11"/>
  <c r="N10"/>
  <c r="R10"/>
  <c r="O10"/>
  <c r="S16"/>
  <c r="P16"/>
  <c r="J10"/>
  <c r="H10"/>
  <c r="E10"/>
  <c r="I16"/>
  <c r="F16"/>
  <c r="Q11"/>
  <c r="Q15"/>
  <c r="S10"/>
  <c r="P10"/>
  <c r="N16"/>
  <c r="R16"/>
  <c r="O16"/>
  <c r="I10"/>
  <c r="F10"/>
  <c r="J16"/>
  <c r="H16"/>
  <c r="E16"/>
  <c r="M9" l="1"/>
  <c r="K9"/>
  <c r="M17"/>
  <c r="K17"/>
  <c r="L18"/>
  <c r="L8"/>
  <c r="G16"/>
  <c r="G10"/>
  <c r="N9"/>
  <c r="R9"/>
  <c r="O9"/>
  <c r="S17"/>
  <c r="P17"/>
  <c r="J9"/>
  <c r="H9"/>
  <c r="E9"/>
  <c r="I17"/>
  <c r="F17"/>
  <c r="Q10"/>
  <c r="Q16"/>
  <c r="S9"/>
  <c r="P9"/>
  <c r="N17"/>
  <c r="R17"/>
  <c r="O17"/>
  <c r="I9"/>
  <c r="F9"/>
  <c r="J17"/>
  <c r="H17"/>
  <c r="E17"/>
  <c r="M18" l="1"/>
  <c r="K18"/>
  <c r="M8"/>
  <c r="K8"/>
  <c r="L7"/>
  <c r="L19"/>
  <c r="G17"/>
  <c r="G9"/>
  <c r="N18"/>
  <c r="R18"/>
  <c r="O18"/>
  <c r="S8"/>
  <c r="P8"/>
  <c r="J18"/>
  <c r="H18"/>
  <c r="E18"/>
  <c r="I8"/>
  <c r="F8"/>
  <c r="Q9"/>
  <c r="Q17"/>
  <c r="S18"/>
  <c r="P18"/>
  <c r="N8"/>
  <c r="R8"/>
  <c r="O8"/>
  <c r="I18"/>
  <c r="F18"/>
  <c r="J8"/>
  <c r="H8"/>
  <c r="E8"/>
  <c r="M19" l="1"/>
  <c r="K19"/>
  <c r="M7"/>
  <c r="K7"/>
  <c r="L20"/>
  <c r="L6"/>
  <c r="G8"/>
  <c r="G18"/>
  <c r="J19"/>
  <c r="H19"/>
  <c r="E19"/>
  <c r="I7"/>
  <c r="F7"/>
  <c r="N19"/>
  <c r="R19"/>
  <c r="O19"/>
  <c r="S7"/>
  <c r="P7"/>
  <c r="Q18"/>
  <c r="Q8"/>
  <c r="I19"/>
  <c r="F19"/>
  <c r="J7"/>
  <c r="H7"/>
  <c r="E7"/>
  <c r="S19"/>
  <c r="P19"/>
  <c r="N7"/>
  <c r="R7"/>
  <c r="O7"/>
  <c r="M20" l="1"/>
  <c r="K20"/>
  <c r="M6"/>
  <c r="K6"/>
  <c r="L5"/>
  <c r="L21"/>
  <c r="Q19"/>
  <c r="Q7"/>
  <c r="J6"/>
  <c r="H6"/>
  <c r="E6"/>
  <c r="S20"/>
  <c r="P20"/>
  <c r="N6"/>
  <c r="R6"/>
  <c r="O6"/>
  <c r="I20"/>
  <c r="F20"/>
  <c r="G7"/>
  <c r="G19"/>
  <c r="I6"/>
  <c r="F6"/>
  <c r="N20"/>
  <c r="R20"/>
  <c r="O20"/>
  <c r="S6"/>
  <c r="P6"/>
  <c r="J20"/>
  <c r="H20"/>
  <c r="E20"/>
  <c r="M21" l="1"/>
  <c r="K21"/>
  <c r="M5"/>
  <c r="K5"/>
  <c r="L22"/>
  <c r="L4"/>
  <c r="G20"/>
  <c r="Q20"/>
  <c r="J21"/>
  <c r="H21"/>
  <c r="E21"/>
  <c r="I5"/>
  <c r="F5"/>
  <c r="N21"/>
  <c r="R21"/>
  <c r="O21"/>
  <c r="S5"/>
  <c r="P5"/>
  <c r="Q6"/>
  <c r="G6"/>
  <c r="I21"/>
  <c r="F21"/>
  <c r="J5"/>
  <c r="H5"/>
  <c r="E5"/>
  <c r="S21"/>
  <c r="P21"/>
  <c r="N5"/>
  <c r="R5"/>
  <c r="O5"/>
  <c r="M22" l="1"/>
  <c r="K22"/>
  <c r="M4"/>
  <c r="K4"/>
  <c r="L3"/>
  <c r="L23"/>
  <c r="S22"/>
  <c r="H4"/>
  <c r="Q21"/>
  <c r="Q5"/>
  <c r="N22"/>
  <c r="R22"/>
  <c r="O22"/>
  <c r="S4"/>
  <c r="P4"/>
  <c r="J22"/>
  <c r="H22"/>
  <c r="E22"/>
  <c r="I4"/>
  <c r="F4"/>
  <c r="G5"/>
  <c r="G21"/>
  <c r="P22"/>
  <c r="N4"/>
  <c r="R4"/>
  <c r="O4"/>
  <c r="I22"/>
  <c r="F22"/>
  <c r="J4"/>
  <c r="E4"/>
  <c r="M23" l="1"/>
  <c r="K23"/>
  <c r="M3"/>
  <c r="K3"/>
  <c r="Q22"/>
  <c r="Q4"/>
  <c r="J23"/>
  <c r="H23"/>
  <c r="E23"/>
  <c r="F3"/>
  <c r="H3"/>
  <c r="S23"/>
  <c r="P23"/>
  <c r="P3"/>
  <c r="R3"/>
  <c r="N3"/>
  <c r="G22"/>
  <c r="G4"/>
  <c r="I23"/>
  <c r="F23"/>
  <c r="E3"/>
  <c r="I3"/>
  <c r="N23"/>
  <c r="R23"/>
  <c r="O23"/>
  <c r="S3"/>
  <c r="O3"/>
  <c r="J3"/>
  <c r="Q3"/>
  <c r="G3"/>
  <c r="Q23"/>
  <c r="G23"/>
</calcChain>
</file>

<file path=xl/sharedStrings.xml><?xml version="1.0" encoding="utf-8"?>
<sst xmlns="http://schemas.openxmlformats.org/spreadsheetml/2006/main" count="85" uniqueCount="34">
  <si>
    <t>LTP</t>
  </si>
  <si>
    <t>SYMBOL</t>
  </si>
  <si>
    <t>NIFTY</t>
  </si>
  <si>
    <t>TRDSYM</t>
  </si>
  <si>
    <t>USER INPUTS</t>
  </si>
  <si>
    <t>STRIKE</t>
  </si>
  <si>
    <t>PUTS</t>
  </si>
  <si>
    <t xml:space="preserve">  </t>
  </si>
  <si>
    <t>OI</t>
  </si>
  <si>
    <t>IV</t>
  </si>
  <si>
    <t>EXPIRY FUT</t>
  </si>
  <si>
    <t>EXPIRY OPT</t>
  </si>
  <si>
    <t>NO</t>
  </si>
  <si>
    <t>OPEN</t>
  </si>
  <si>
    <t>TRACK INDEX?</t>
  </si>
  <si>
    <t>INT RATE</t>
  </si>
  <si>
    <t>DIV YIELD</t>
  </si>
  <si>
    <t>EXPIRY DAYS</t>
  </si>
  <si>
    <t>INTERVAL</t>
  </si>
  <si>
    <t>CALLS</t>
  </si>
  <si>
    <t>CHG</t>
  </si>
  <si>
    <t>VOL</t>
  </si>
  <si>
    <t>PING</t>
  </si>
  <si>
    <t>SUB</t>
  </si>
  <si>
    <t>NAME</t>
  </si>
  <si>
    <t>STATUS</t>
  </si>
  <si>
    <t>ID</t>
  </si>
  <si>
    <t>LTP FUT</t>
  </si>
  <si>
    <t>LTP IDX</t>
  </si>
  <si>
    <t>VOLTILITY</t>
  </si>
  <si>
    <t>TRDSYM IDX</t>
  </si>
  <si>
    <t>TRDSYM FUT</t>
  </si>
  <si>
    <t>SUB IDX</t>
  </si>
  <si>
    <t>SUB FUT</t>
  </si>
</sst>
</file>

<file path=xl/styles.xml><?xml version="1.0" encoding="utf-8"?>
<styleSheet xmlns="http://schemas.openxmlformats.org/spreadsheetml/2006/main">
  <numFmts count="1">
    <numFmt numFmtId="164" formatCode="dd/mmm/yyyy"/>
  </numFmts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b/>
      <sz val="10"/>
      <color theme="1" tint="0.249977111117893"/>
      <name val="Cambria"/>
      <family val="1"/>
      <scheme val="major"/>
    </font>
    <font>
      <sz val="8"/>
      <color theme="1" tint="0.249977111117893"/>
      <name val="Cambria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66"/>
        </stop>
        <stop position="0.5">
          <color rgb="FFFFFFCC"/>
        </stop>
        <stop position="1">
          <color rgb="FFFFFF66"/>
        </stop>
      </gradient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8">
    <xf numFmtId="0" fontId="0" fillId="0" borderId="0" xfId="0"/>
    <xf numFmtId="0" fontId="2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center" vertical="center"/>
    </xf>
    <xf numFmtId="164" fontId="2" fillId="0" borderId="1" xfId="0" applyNumberFormat="1" applyFont="1" applyFill="1" applyBorder="1" applyAlignment="1" applyProtection="1">
      <alignment horizontal="right" vertical="center"/>
    </xf>
    <xf numFmtId="1" fontId="2" fillId="0" borderId="1" xfId="0" applyNumberFormat="1" applyFont="1" applyFill="1" applyBorder="1" applyAlignment="1" applyProtection="1">
      <alignment horizontal="right" vertical="center"/>
    </xf>
    <xf numFmtId="2" fontId="2" fillId="0" borderId="1" xfId="0" applyNumberFormat="1" applyFont="1" applyFill="1" applyBorder="1" applyAlignment="1" applyProtection="1">
      <alignment horizontal="right" vertical="center"/>
    </xf>
    <xf numFmtId="0" fontId="2" fillId="0" borderId="1" xfId="0" applyFont="1" applyFill="1" applyBorder="1" applyAlignment="1" applyProtection="1">
      <alignment horizontal="center" vertical="center"/>
    </xf>
    <xf numFmtId="1" fontId="2" fillId="0" borderId="1" xfId="0" applyNumberFormat="1" applyFont="1" applyFill="1" applyBorder="1" applyAlignment="1" applyProtection="1">
      <alignment horizontal="center" vertical="center"/>
    </xf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right" vertical="center"/>
      <protection locked="0"/>
    </xf>
    <xf numFmtId="2" fontId="2" fillId="2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2" fillId="0" borderId="0" xfId="0" applyNumberFormat="1" applyFont="1" applyProtection="1"/>
    <xf numFmtId="0" fontId="3" fillId="0" borderId="0" xfId="0" applyNumberFormat="1" applyFont="1" applyProtection="1"/>
    <xf numFmtId="0" fontId="3" fillId="0" borderId="0" xfId="0" applyNumberFormat="1" applyFont="1" applyBorder="1" applyAlignment="1" applyProtection="1">
      <alignment horizontal="left" vertical="center"/>
    </xf>
    <xf numFmtId="0" fontId="2" fillId="0" borderId="4" xfId="0" quotePrefix="1" applyFont="1" applyBorder="1" applyAlignment="1" applyProtection="1">
      <alignment horizontal="right" vertical="center"/>
      <protection locked="0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0" fontId="4" fillId="0" borderId="1" xfId="0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3" borderId="5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5">
    <dxf>
      <font>
        <color rgb="FF0000FF"/>
      </font>
    </dxf>
    <dxf>
      <font>
        <color rgb="FFCC0000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0</v>
        <stp/>
        <stp>NIFTY 50.NSE_INDEX</stp>
        <stp>LAST</stp>
        <tr r="C14" s="32"/>
      </tp>
      <tp>
        <v>1</v>
        <stp/>
        <stp>PING2.PING2</stp>
        <stp>PING</stp>
        <tr r="C4" s="3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14" customWidth="1"/>
    <col min="2" max="2" width="13" style="14" customWidth="1"/>
    <col min="3" max="3" width="54.85546875" style="14" customWidth="1"/>
    <col min="4" max="4" width="20.7109375" style="14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16"/>
      <c r="B1" s="16"/>
      <c r="C1" s="16"/>
      <c r="D1" s="16"/>
    </row>
    <row r="2" spans="1:4" ht="15" customHeight="1">
      <c r="A2" s="16"/>
      <c r="B2" s="16"/>
      <c r="C2" s="16"/>
      <c r="D2" s="16"/>
    </row>
    <row r="3" spans="1:4" ht="15" customHeight="1">
      <c r="A3" s="16"/>
      <c r="B3" s="16"/>
      <c r="C3" s="16"/>
      <c r="D3" s="16"/>
    </row>
    <row r="4" spans="1:4" ht="15" customHeight="1">
      <c r="A4" s="16"/>
      <c r="B4" s="22" t="s">
        <v>22</v>
      </c>
      <c r="C4" s="20">
        <f>GetRTD("PING2","PING2","PING")</f>
        <v>1</v>
      </c>
      <c r="D4" s="16"/>
    </row>
    <row r="5" spans="1:4" ht="15" customHeight="1">
      <c r="A5" s="16"/>
      <c r="B5" s="22" t="s">
        <v>26</v>
      </c>
      <c r="C5" s="21" t="str">
        <f>GetClientID(PING)</f>
        <v>NA</v>
      </c>
      <c r="D5" s="16"/>
    </row>
    <row r="6" spans="1:4" ht="15" customHeight="1">
      <c r="A6" s="16"/>
      <c r="B6" s="22" t="s">
        <v>24</v>
      </c>
      <c r="C6" s="21" t="str">
        <f>GetClientName(PING)</f>
        <v>NA</v>
      </c>
      <c r="D6" s="16"/>
    </row>
    <row r="7" spans="1:4" ht="15" customHeight="1">
      <c r="A7" s="16"/>
      <c r="B7" s="22" t="s">
        <v>25</v>
      </c>
      <c r="C7" s="21" t="str">
        <f>GetBridgeStatus(PING)</f>
        <v>WAITING</v>
      </c>
      <c r="D7" s="16"/>
    </row>
    <row r="8" spans="1:4" ht="15" customHeight="1">
      <c r="A8" s="16"/>
      <c r="B8" s="16"/>
      <c r="C8" s="16"/>
      <c r="D8" s="16"/>
    </row>
    <row r="9" spans="1:4" ht="15" customHeight="1">
      <c r="A9" s="16"/>
      <c r="B9" s="16"/>
      <c r="C9" s="16"/>
      <c r="D9" s="16"/>
    </row>
    <row r="10" spans="1:4" ht="15" customHeight="1">
      <c r="A10" s="16"/>
      <c r="B10" s="16"/>
      <c r="C10" s="16"/>
      <c r="D10" s="16"/>
    </row>
    <row r="11" spans="1:4" ht="15" hidden="1" customHeight="1">
      <c r="A11" s="16"/>
      <c r="B11" s="16"/>
      <c r="C11" s="16"/>
      <c r="D11" s="16"/>
    </row>
    <row r="12" spans="1:4" ht="15" hidden="1" customHeight="1">
      <c r="A12" s="16"/>
      <c r="B12" s="16"/>
      <c r="C12" s="16"/>
      <c r="D12" s="16"/>
    </row>
    <row r="13" spans="1:4" ht="15" hidden="1" customHeight="1">
      <c r="A13" s="16"/>
      <c r="B13" s="16"/>
      <c r="C13" s="16"/>
      <c r="D13" s="16"/>
    </row>
    <row r="14" spans="1:4" ht="15" hidden="1" customHeight="1">
      <c r="A14" s="16"/>
      <c r="B14" s="16"/>
      <c r="C14" s="16"/>
      <c r="D14" s="16"/>
    </row>
    <row r="15" spans="1:4" ht="15" hidden="1" customHeight="1">
      <c r="A15" s="17"/>
      <c r="B15" s="18"/>
      <c r="C15" s="17"/>
      <c r="D15" s="17"/>
    </row>
    <row r="16" spans="1:4" ht="15" hidden="1" customHeight="1">
      <c r="A16" s="17"/>
      <c r="B16" s="17"/>
      <c r="C16" s="17"/>
      <c r="D16" s="17"/>
    </row>
    <row r="17" spans="1:4" ht="15" hidden="1" customHeight="1">
      <c r="A17" s="17"/>
      <c r="B17" s="17"/>
      <c r="C17" s="17"/>
      <c r="D17" s="17"/>
    </row>
    <row r="18" spans="1:4" ht="15" hidden="1" customHeight="1">
      <c r="A18" s="17"/>
      <c r="B18" s="17"/>
      <c r="C18" s="17"/>
      <c r="D18" s="17"/>
    </row>
    <row r="19" spans="1:4" ht="15" hidden="1" customHeight="1">
      <c r="A19" s="17"/>
      <c r="B19" s="17"/>
      <c r="C19" s="17"/>
      <c r="D19" s="17"/>
    </row>
    <row r="20" spans="1:4" ht="15" hidden="1" customHeight="1">
      <c r="A20" s="19"/>
      <c r="B20" s="17"/>
      <c r="C20" s="17"/>
      <c r="D20" s="17"/>
    </row>
    <row r="21" spans="1:4" ht="15" hidden="1" customHeight="1">
      <c r="A21" s="19"/>
      <c r="B21" s="17"/>
      <c r="C21" s="17"/>
      <c r="D21" s="17"/>
    </row>
    <row r="22" spans="1:4" ht="15" hidden="1" customHeight="1">
      <c r="A22" s="17"/>
      <c r="B22" s="17"/>
      <c r="C22" s="17"/>
      <c r="D22" s="17"/>
    </row>
    <row r="23" spans="1:4" ht="15" hidden="1" customHeight="1">
      <c r="A23" s="17"/>
      <c r="B23" s="17"/>
      <c r="C23" s="17"/>
      <c r="D23" s="17"/>
    </row>
    <row r="24" spans="1:4" ht="15" hidden="1" customHeight="1">
      <c r="A24" s="17"/>
      <c r="B24" s="17"/>
      <c r="C24" s="17"/>
      <c r="D24" s="17"/>
    </row>
    <row r="25" spans="1:4" ht="15" hidden="1" customHeight="1">
      <c r="A25" s="17"/>
      <c r="B25" s="17"/>
      <c r="C25" s="17"/>
      <c r="D25" s="17"/>
    </row>
    <row r="26" spans="1:4" ht="15" hidden="1" customHeight="1">
      <c r="A26" s="17"/>
      <c r="B26" s="17"/>
      <c r="C26" s="17"/>
      <c r="D26" s="17"/>
    </row>
    <row r="27" spans="1:4" ht="15" hidden="1" customHeight="1">
      <c r="A27" s="17"/>
      <c r="B27" s="17"/>
      <c r="C27" s="17"/>
      <c r="D27" s="17"/>
    </row>
    <row r="28" spans="1:4" ht="15" hidden="1" customHeight="1">
      <c r="A28" s="17"/>
      <c r="B28" s="17"/>
      <c r="C28" s="17"/>
      <c r="D28" s="17"/>
    </row>
    <row r="29" spans="1:4" ht="15" hidden="1" customHeight="1">
      <c r="A29" s="17"/>
      <c r="B29" s="17"/>
      <c r="C29" s="17"/>
      <c r="D29" s="17"/>
    </row>
    <row r="30" spans="1:4" ht="15" hidden="1" customHeight="1">
      <c r="A30" s="17"/>
      <c r="B30" s="17"/>
      <c r="C30" s="17"/>
      <c r="D30" s="17"/>
    </row>
    <row r="31" spans="1:4" ht="15" hidden="1" customHeight="1">
      <c r="A31" s="17"/>
      <c r="B31" s="17"/>
      <c r="C31" s="17"/>
      <c r="D31" s="17"/>
    </row>
    <row r="32" spans="1:4" ht="15" hidden="1" customHeight="1">
      <c r="A32" s="17"/>
      <c r="B32" s="17"/>
      <c r="C32" s="17"/>
      <c r="D32" s="17"/>
    </row>
    <row r="33" spans="1:4" ht="15" hidden="1" customHeight="1">
      <c r="A33" s="17"/>
      <c r="B33" s="17"/>
      <c r="C33" s="17"/>
      <c r="D33" s="17"/>
    </row>
    <row r="34" spans="1:4" ht="15" hidden="1" customHeight="1">
      <c r="A34" s="17"/>
      <c r="B34" s="17"/>
      <c r="C34" s="17"/>
      <c r="D34" s="17"/>
    </row>
    <row r="35" spans="1:4" ht="15" hidden="1" customHeight="1">
      <c r="A35" s="17"/>
      <c r="B35" s="17"/>
      <c r="C35" s="17"/>
      <c r="D35" s="17"/>
    </row>
    <row r="36" spans="1:4" ht="15" hidden="1" customHeight="1">
      <c r="A36" s="17"/>
      <c r="B36" s="17"/>
      <c r="C36" s="17"/>
      <c r="D36" s="17"/>
    </row>
    <row r="37" spans="1:4" ht="15" hidden="1" customHeight="1">
      <c r="A37" s="17"/>
      <c r="B37" s="17"/>
      <c r="C37" s="17"/>
      <c r="D37" s="17"/>
    </row>
    <row r="38" spans="1:4" ht="15" hidden="1" customHeight="1">
      <c r="A38" s="17"/>
      <c r="B38" s="17"/>
      <c r="C38" s="17"/>
      <c r="D38" s="17"/>
    </row>
    <row r="39" spans="1:4" ht="15" hidden="1" customHeight="1">
      <c r="A39" s="17"/>
      <c r="B39" s="17"/>
      <c r="C39" s="17"/>
      <c r="D39" s="17"/>
    </row>
    <row r="40" spans="1:4" ht="15" hidden="1" customHeight="1">
      <c r="A40" s="17"/>
      <c r="B40" s="17"/>
      <c r="C40" s="17"/>
      <c r="D40" s="17"/>
    </row>
    <row r="41" spans="1:4" ht="15" hidden="1" customHeight="1">
      <c r="A41" s="17"/>
      <c r="B41" s="17"/>
      <c r="C41" s="17"/>
      <c r="D41" s="17"/>
    </row>
    <row r="42" spans="1:4" ht="15" hidden="1" customHeight="1">
      <c r="A42" s="17"/>
      <c r="B42" s="17"/>
      <c r="C42" s="17"/>
      <c r="D42" s="17"/>
    </row>
    <row r="43" spans="1:4" ht="15" hidden="1" customHeight="1">
      <c r="A43" s="17"/>
      <c r="B43" s="17"/>
      <c r="C43" s="17"/>
      <c r="D43" s="17"/>
    </row>
    <row r="44" spans="1:4" ht="15" hidden="1" customHeight="1">
      <c r="A44" s="17"/>
      <c r="B44" s="17"/>
      <c r="C44" s="17"/>
      <c r="D44" s="17"/>
    </row>
    <row r="45" spans="1:4" ht="15" hidden="1" customHeight="1">
      <c r="A45" s="17"/>
      <c r="B45" s="17"/>
      <c r="C45" s="17"/>
      <c r="D45" s="17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4" priority="3">
      <formula>ISNUMBER($C$4)=FALSE</formula>
    </cfRule>
  </conditionalFormatting>
  <conditionalFormatting sqref="C7">
    <cfRule type="containsText" dxfId="3" priority="2" operator="containsText" text="CONNECTED">
      <formula>NOT(ISERROR(SEARCH("CONNECTED",C7)))</formula>
    </cfRule>
    <cfRule type="containsText" dxfId="2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showGridLines="0" tabSelected="1" workbookViewId="0">
      <selection sqref="A1:C1"/>
    </sheetView>
  </sheetViews>
  <sheetFormatPr defaultRowHeight="15" customHeight="1"/>
  <cols>
    <col min="1" max="1" width="12" style="2" customWidth="1"/>
    <col min="2" max="2" width="3.7109375" style="2" customWidth="1"/>
    <col min="3" max="3" width="17.7109375" style="3" customWidth="1"/>
    <col min="4" max="4" width="3" style="1" customWidth="1"/>
    <col min="5" max="6" width="8" style="4" customWidth="1"/>
    <col min="7" max="8" width="9.140625" style="4"/>
    <col min="9" max="11" width="7.28515625" style="4" customWidth="1"/>
    <col min="12" max="12" width="9.140625" style="4"/>
    <col min="13" max="15" width="7.28515625" style="4" customWidth="1"/>
    <col min="16" max="17" width="9.140625" style="4"/>
    <col min="18" max="19" width="8" style="4" customWidth="1"/>
    <col min="20" max="16384" width="9.140625" style="1"/>
  </cols>
  <sheetData>
    <row r="1" spans="1:20" ht="15" customHeight="1">
      <c r="A1" s="33" t="s">
        <v>4</v>
      </c>
      <c r="B1" s="33"/>
      <c r="C1" s="33"/>
      <c r="E1" s="35" t="s">
        <v>19</v>
      </c>
      <c r="F1" s="36"/>
      <c r="G1" s="36"/>
      <c r="H1" s="36"/>
      <c r="I1" s="36"/>
      <c r="J1" s="36"/>
      <c r="K1" s="37"/>
      <c r="L1" s="34" t="s">
        <v>5</v>
      </c>
      <c r="M1" s="30" t="s">
        <v>6</v>
      </c>
      <c r="N1" s="31"/>
      <c r="O1" s="31"/>
      <c r="P1" s="31"/>
      <c r="Q1" s="31"/>
      <c r="R1" s="31"/>
      <c r="S1" s="32"/>
    </row>
    <row r="2" spans="1:20" ht="15" customHeight="1">
      <c r="A2" s="23" t="s">
        <v>1</v>
      </c>
      <c r="C2" s="11" t="s">
        <v>2</v>
      </c>
      <c r="D2" s="1" t="s">
        <v>7</v>
      </c>
      <c r="E2" s="8" t="s">
        <v>8</v>
      </c>
      <c r="F2" s="8" t="s">
        <v>21</v>
      </c>
      <c r="G2" s="8" t="s">
        <v>9</v>
      </c>
      <c r="H2" s="8" t="s">
        <v>0</v>
      </c>
      <c r="I2" s="8" t="s">
        <v>20</v>
      </c>
      <c r="J2" s="25" t="s">
        <v>23</v>
      </c>
      <c r="K2" s="25" t="s">
        <v>3</v>
      </c>
      <c r="L2" s="34"/>
      <c r="M2" s="25" t="s">
        <v>3</v>
      </c>
      <c r="N2" s="25" t="s">
        <v>23</v>
      </c>
      <c r="O2" s="8" t="s">
        <v>20</v>
      </c>
      <c r="P2" s="8" t="s">
        <v>0</v>
      </c>
      <c r="Q2" s="8" t="s">
        <v>9</v>
      </c>
      <c r="R2" s="8" t="s">
        <v>21</v>
      </c>
      <c r="S2" s="8" t="s">
        <v>8</v>
      </c>
      <c r="T2" s="1" t="s">
        <v>7</v>
      </c>
    </row>
    <row r="3" spans="1:20" ht="15" customHeight="1">
      <c r="A3" s="23" t="s">
        <v>10</v>
      </c>
      <c r="B3" s="15">
        <v>1</v>
      </c>
      <c r="C3" s="5">
        <f>GetContractExpiry("NFO",SYMBOL,"FUT",B3,PING)</f>
        <v>0</v>
      </c>
      <c r="D3" s="1" t="s">
        <v>7</v>
      </c>
      <c r="E3" s="9">
        <f>GetRTD("NFO",K3,"OI")</f>
        <v>0</v>
      </c>
      <c r="F3" s="9">
        <f>GetRTD("NFO",K3,"VOLUME")</f>
        <v>0</v>
      </c>
      <c r="G3" s="10">
        <f t="shared" ref="G3:G23" ca="1" si="0">ImpliedCallVolatility(LTP_TRACK,L3,DAYS_TO_EXPIRY,INTEREST_RATE,H3,DIVIDEND_YIELD)</f>
        <v>0</v>
      </c>
      <c r="H3" s="10">
        <f>GetRTD("NFO",K3,"LAST")</f>
        <v>0</v>
      </c>
      <c r="I3" s="10">
        <f>GetRTD("NFO",K3,"NETCHG")</f>
        <v>0</v>
      </c>
      <c r="J3" s="26" t="b">
        <f t="shared" ref="J3:J23" si="1">SubscribeQuotes("NFO",K3,PING)</f>
        <v>0</v>
      </c>
      <c r="K3" s="26" t="str">
        <f t="shared" ref="K3:K23" si="2">IF(L3&gt;0,SYMBOL&amp;UPPER(TEXT(EXPIRY_OPT,"yyMMMdd"))&amp;L3&amp;"CE","")</f>
        <v/>
      </c>
      <c r="L3" s="8">
        <f t="shared" ref="L3:L11" si="3">IF(L4&gt;0,L4-STRIKE_INTERVAL,0)</f>
        <v>0</v>
      </c>
      <c r="M3" s="26" t="str">
        <f t="shared" ref="M3:M23" si="4">IF(L3&gt;0,SYMBOL&amp;UPPER(TEXT(EXPIRY_OPT,"yyMMMdd"))&amp;L3&amp;"PE","")</f>
        <v/>
      </c>
      <c r="N3" s="26" t="b">
        <f t="shared" ref="N3:N23" si="5">SubscribeQuotes("NFO",M3,PING)</f>
        <v>0</v>
      </c>
      <c r="O3" s="10">
        <f>GetRTD("NFO",M3,"NETCHG")</f>
        <v>0</v>
      </c>
      <c r="P3" s="10">
        <f>GetRTD("NFO",M3,"LAST")</f>
        <v>0</v>
      </c>
      <c r="Q3" s="10">
        <f t="shared" ref="Q3:Q23" ca="1" si="6">ImpliedPutVolatility(LTP_TRACK,L3,DAYS_TO_EXPIRY,INTEREST_RATE,P3,DIVIDEND_YIELD)</f>
        <v>0</v>
      </c>
      <c r="R3" s="9">
        <f>GetRTD("NFO",M3,"VOLUME")</f>
        <v>0</v>
      </c>
      <c r="S3" s="9">
        <f>GetRTD("NFO",M3,"OI")</f>
        <v>0</v>
      </c>
      <c r="T3" s="1" t="s">
        <v>7</v>
      </c>
    </row>
    <row r="4" spans="1:20" ht="15" customHeight="1">
      <c r="A4" s="23" t="s">
        <v>11</v>
      </c>
      <c r="B4" s="15">
        <v>1</v>
      </c>
      <c r="C4" s="5">
        <f>GetContractExpiry("NFO",SYMBOL,"OPT",B4,PING)</f>
        <v>0</v>
      </c>
      <c r="D4" s="1" t="s">
        <v>7</v>
      </c>
      <c r="E4" s="9">
        <f t="shared" ref="E4:E23" si="7">GetRTD("NFO",K4,"OI")</f>
        <v>0</v>
      </c>
      <c r="F4" s="9">
        <f t="shared" ref="F4:F23" si="8">GetRTD("NFO",K4,"VOLUME")</f>
        <v>0</v>
      </c>
      <c r="G4" s="10">
        <f t="shared" ca="1" si="0"/>
        <v>0</v>
      </c>
      <c r="H4" s="10">
        <f t="shared" ref="H4:H23" si="9">GetRTD("NFO",K4,"LAST")</f>
        <v>0</v>
      </c>
      <c r="I4" s="10">
        <f t="shared" ref="I4:I23" si="10">GetRTD("NFO",K4,"NETCHG")</f>
        <v>0</v>
      </c>
      <c r="J4" s="26" t="b">
        <f t="shared" si="1"/>
        <v>0</v>
      </c>
      <c r="K4" s="26" t="str">
        <f t="shared" si="2"/>
        <v/>
      </c>
      <c r="L4" s="8">
        <f t="shared" si="3"/>
        <v>0</v>
      </c>
      <c r="M4" s="26" t="str">
        <f t="shared" si="4"/>
        <v/>
      </c>
      <c r="N4" s="26" t="b">
        <f t="shared" si="5"/>
        <v>0</v>
      </c>
      <c r="O4" s="10">
        <f t="shared" ref="O4:O23" si="11">GetRTD("NFO",M4,"NETCHG")</f>
        <v>0</v>
      </c>
      <c r="P4" s="10">
        <f t="shared" ref="P4:P23" si="12">GetRTD("NFO",M4,"LAST")</f>
        <v>0</v>
      </c>
      <c r="Q4" s="10">
        <f t="shared" ca="1" si="6"/>
        <v>0</v>
      </c>
      <c r="R4" s="9">
        <f t="shared" ref="R4:R23" si="13">GetRTD("NFO",M4,"VOLUME")</f>
        <v>0</v>
      </c>
      <c r="S4" s="9">
        <f t="shared" ref="S4:S23" si="14">GetRTD("NFO",M4,"OI")</f>
        <v>0</v>
      </c>
      <c r="T4" s="1" t="s">
        <v>7</v>
      </c>
    </row>
    <row r="5" spans="1:20" ht="15" customHeight="1">
      <c r="A5" s="23" t="s">
        <v>29</v>
      </c>
      <c r="C5" s="12">
        <v>32.72</v>
      </c>
      <c r="D5" s="1" t="s">
        <v>7</v>
      </c>
      <c r="E5" s="9">
        <f t="shared" si="7"/>
        <v>0</v>
      </c>
      <c r="F5" s="9">
        <f t="shared" si="8"/>
        <v>0</v>
      </c>
      <c r="G5" s="10">
        <f t="shared" ca="1" si="0"/>
        <v>0</v>
      </c>
      <c r="H5" s="10">
        <f t="shared" si="9"/>
        <v>0</v>
      </c>
      <c r="I5" s="10">
        <f t="shared" si="10"/>
        <v>0</v>
      </c>
      <c r="J5" s="26" t="b">
        <f t="shared" si="1"/>
        <v>0</v>
      </c>
      <c r="K5" s="26" t="str">
        <f t="shared" si="2"/>
        <v/>
      </c>
      <c r="L5" s="8">
        <f t="shared" si="3"/>
        <v>0</v>
      </c>
      <c r="M5" s="26" t="str">
        <f t="shared" si="4"/>
        <v/>
      </c>
      <c r="N5" s="26" t="b">
        <f t="shared" si="5"/>
        <v>0</v>
      </c>
      <c r="O5" s="10">
        <f t="shared" si="11"/>
        <v>0</v>
      </c>
      <c r="P5" s="10">
        <f t="shared" si="12"/>
        <v>0</v>
      </c>
      <c r="Q5" s="10">
        <f t="shared" ca="1" si="6"/>
        <v>0</v>
      </c>
      <c r="R5" s="9">
        <f t="shared" si="13"/>
        <v>0</v>
      </c>
      <c r="S5" s="9">
        <f t="shared" si="14"/>
        <v>0</v>
      </c>
      <c r="T5" s="1" t="s">
        <v>7</v>
      </c>
    </row>
    <row r="6" spans="1:20" ht="15" customHeight="1">
      <c r="A6" s="23" t="s">
        <v>15</v>
      </c>
      <c r="C6" s="12">
        <v>10</v>
      </c>
      <c r="D6" s="1" t="s">
        <v>7</v>
      </c>
      <c r="E6" s="9">
        <f t="shared" si="7"/>
        <v>0</v>
      </c>
      <c r="F6" s="9">
        <f t="shared" si="8"/>
        <v>0</v>
      </c>
      <c r="G6" s="10">
        <f t="shared" ca="1" si="0"/>
        <v>0</v>
      </c>
      <c r="H6" s="10">
        <f t="shared" si="9"/>
        <v>0</v>
      </c>
      <c r="I6" s="10">
        <f t="shared" si="10"/>
        <v>0</v>
      </c>
      <c r="J6" s="26" t="b">
        <f t="shared" si="1"/>
        <v>0</v>
      </c>
      <c r="K6" s="26" t="str">
        <f t="shared" si="2"/>
        <v/>
      </c>
      <c r="L6" s="8">
        <f t="shared" si="3"/>
        <v>0</v>
      </c>
      <c r="M6" s="26" t="str">
        <f t="shared" si="4"/>
        <v/>
      </c>
      <c r="N6" s="26" t="b">
        <f t="shared" si="5"/>
        <v>0</v>
      </c>
      <c r="O6" s="10">
        <f t="shared" si="11"/>
        <v>0</v>
      </c>
      <c r="P6" s="10">
        <f t="shared" si="12"/>
        <v>0</v>
      </c>
      <c r="Q6" s="10">
        <f t="shared" ca="1" si="6"/>
        <v>0</v>
      </c>
      <c r="R6" s="9">
        <f t="shared" si="13"/>
        <v>0</v>
      </c>
      <c r="S6" s="9">
        <f t="shared" si="14"/>
        <v>0</v>
      </c>
      <c r="T6" s="1" t="s">
        <v>7</v>
      </c>
    </row>
    <row r="7" spans="1:20" ht="15" customHeight="1">
      <c r="A7" s="23" t="s">
        <v>16</v>
      </c>
      <c r="C7" s="12">
        <v>0</v>
      </c>
      <c r="D7" s="1" t="s">
        <v>7</v>
      </c>
      <c r="E7" s="9">
        <f t="shared" si="7"/>
        <v>0</v>
      </c>
      <c r="F7" s="9">
        <f t="shared" si="8"/>
        <v>0</v>
      </c>
      <c r="G7" s="10">
        <f t="shared" ca="1" si="0"/>
        <v>0</v>
      </c>
      <c r="H7" s="10">
        <f t="shared" si="9"/>
        <v>0</v>
      </c>
      <c r="I7" s="10">
        <f t="shared" si="10"/>
        <v>0</v>
      </c>
      <c r="J7" s="26" t="b">
        <f t="shared" si="1"/>
        <v>0</v>
      </c>
      <c r="K7" s="26" t="str">
        <f t="shared" si="2"/>
        <v/>
      </c>
      <c r="L7" s="8">
        <f t="shared" si="3"/>
        <v>0</v>
      </c>
      <c r="M7" s="26" t="str">
        <f t="shared" si="4"/>
        <v/>
      </c>
      <c r="N7" s="26" t="b">
        <f t="shared" si="5"/>
        <v>0</v>
      </c>
      <c r="O7" s="10">
        <f t="shared" si="11"/>
        <v>0</v>
      </c>
      <c r="P7" s="10">
        <f t="shared" si="12"/>
        <v>0</v>
      </c>
      <c r="Q7" s="10">
        <f t="shared" ca="1" si="6"/>
        <v>0</v>
      </c>
      <c r="R7" s="9">
        <f t="shared" si="13"/>
        <v>0</v>
      </c>
      <c r="S7" s="9">
        <f t="shared" si="14"/>
        <v>0</v>
      </c>
      <c r="T7" s="1" t="s">
        <v>7</v>
      </c>
    </row>
    <row r="8" spans="1:20" ht="15" customHeight="1">
      <c r="A8" s="23" t="s">
        <v>17</v>
      </c>
      <c r="C8" s="6">
        <f ca="1">INT(C4-TODAY())</f>
        <v>-44599</v>
      </c>
      <c r="D8" s="1" t="s">
        <v>7</v>
      </c>
      <c r="E8" s="9">
        <f t="shared" si="7"/>
        <v>0</v>
      </c>
      <c r="F8" s="9">
        <f t="shared" si="8"/>
        <v>0</v>
      </c>
      <c r="G8" s="10">
        <f t="shared" ca="1" si="0"/>
        <v>0</v>
      </c>
      <c r="H8" s="10">
        <f t="shared" si="9"/>
        <v>0</v>
      </c>
      <c r="I8" s="10">
        <f t="shared" si="10"/>
        <v>0</v>
      </c>
      <c r="J8" s="26" t="b">
        <f t="shared" si="1"/>
        <v>0</v>
      </c>
      <c r="K8" s="26" t="str">
        <f t="shared" si="2"/>
        <v/>
      </c>
      <c r="L8" s="8">
        <f t="shared" si="3"/>
        <v>0</v>
      </c>
      <c r="M8" s="26" t="str">
        <f t="shared" si="4"/>
        <v/>
      </c>
      <c r="N8" s="26" t="b">
        <f t="shared" si="5"/>
        <v>0</v>
      </c>
      <c r="O8" s="10">
        <f t="shared" si="11"/>
        <v>0</v>
      </c>
      <c r="P8" s="10">
        <f t="shared" si="12"/>
        <v>0</v>
      </c>
      <c r="Q8" s="10">
        <f t="shared" ca="1" si="6"/>
        <v>0</v>
      </c>
      <c r="R8" s="9">
        <f t="shared" si="13"/>
        <v>0</v>
      </c>
      <c r="S8" s="9">
        <f t="shared" si="14"/>
        <v>0</v>
      </c>
      <c r="T8" s="1" t="s">
        <v>7</v>
      </c>
    </row>
    <row r="9" spans="1:20" ht="15" customHeight="1">
      <c r="A9" s="23" t="s">
        <v>14</v>
      </c>
      <c r="C9" s="13" t="s">
        <v>12</v>
      </c>
      <c r="D9" s="1" t="s">
        <v>7</v>
      </c>
      <c r="E9" s="9">
        <f t="shared" si="7"/>
        <v>0</v>
      </c>
      <c r="F9" s="9">
        <f t="shared" si="8"/>
        <v>0</v>
      </c>
      <c r="G9" s="10">
        <f t="shared" ca="1" si="0"/>
        <v>0</v>
      </c>
      <c r="H9" s="10">
        <f t="shared" si="9"/>
        <v>0</v>
      </c>
      <c r="I9" s="10">
        <f t="shared" si="10"/>
        <v>0</v>
      </c>
      <c r="J9" s="26" t="b">
        <f t="shared" si="1"/>
        <v>0</v>
      </c>
      <c r="K9" s="26" t="str">
        <f t="shared" si="2"/>
        <v/>
      </c>
      <c r="L9" s="8">
        <f t="shared" si="3"/>
        <v>0</v>
      </c>
      <c r="M9" s="26" t="str">
        <f t="shared" si="4"/>
        <v/>
      </c>
      <c r="N9" s="26" t="b">
        <f t="shared" si="5"/>
        <v>0</v>
      </c>
      <c r="O9" s="10">
        <f t="shared" si="11"/>
        <v>0</v>
      </c>
      <c r="P9" s="10">
        <f t="shared" si="12"/>
        <v>0</v>
      </c>
      <c r="Q9" s="10">
        <f t="shared" ca="1" si="6"/>
        <v>0</v>
      </c>
      <c r="R9" s="9">
        <f t="shared" si="13"/>
        <v>0</v>
      </c>
      <c r="S9" s="9">
        <f t="shared" si="14"/>
        <v>0</v>
      </c>
      <c r="T9" s="1" t="s">
        <v>7</v>
      </c>
    </row>
    <row r="10" spans="1:20" ht="15" customHeight="1">
      <c r="A10" s="23" t="s">
        <v>30</v>
      </c>
      <c r="C10" s="24" t="str">
        <f>IF(SYMBOL="NIFTY","NIFTY 50","NIFTY BANK")</f>
        <v>NIFTY 50</v>
      </c>
      <c r="D10" s="1" t="s">
        <v>7</v>
      </c>
      <c r="E10" s="9">
        <f t="shared" si="7"/>
        <v>0</v>
      </c>
      <c r="F10" s="9">
        <f t="shared" si="8"/>
        <v>0</v>
      </c>
      <c r="G10" s="10">
        <f t="shared" ca="1" si="0"/>
        <v>0</v>
      </c>
      <c r="H10" s="10">
        <f t="shared" si="9"/>
        <v>0</v>
      </c>
      <c r="I10" s="10">
        <f t="shared" si="10"/>
        <v>0</v>
      </c>
      <c r="J10" s="26" t="b">
        <f t="shared" si="1"/>
        <v>0</v>
      </c>
      <c r="K10" s="26" t="str">
        <f t="shared" si="2"/>
        <v/>
      </c>
      <c r="L10" s="8">
        <f t="shared" si="3"/>
        <v>0</v>
      </c>
      <c r="M10" s="26" t="str">
        <f t="shared" si="4"/>
        <v/>
      </c>
      <c r="N10" s="26" t="b">
        <f t="shared" si="5"/>
        <v>0</v>
      </c>
      <c r="O10" s="10">
        <f t="shared" si="11"/>
        <v>0</v>
      </c>
      <c r="P10" s="10">
        <f t="shared" si="12"/>
        <v>0</v>
      </c>
      <c r="Q10" s="10">
        <f t="shared" ca="1" si="6"/>
        <v>0</v>
      </c>
      <c r="R10" s="9">
        <f t="shared" si="13"/>
        <v>0</v>
      </c>
      <c r="S10" s="9">
        <f t="shared" si="14"/>
        <v>0</v>
      </c>
      <c r="T10" s="1" t="s">
        <v>7</v>
      </c>
    </row>
    <row r="11" spans="1:20" ht="15" customHeight="1">
      <c r="A11" s="23" t="s">
        <v>31</v>
      </c>
      <c r="C11" s="24" t="str">
        <f>IF(YEAR(EXPIRY_FUT)=1900,"",SYMBOL&amp;UPPER(TEXT(EXPIRY_FUT,"yyMMMdd"))&amp;"FUT")</f>
        <v/>
      </c>
      <c r="D11" s="1" t="s">
        <v>7</v>
      </c>
      <c r="E11" s="9">
        <f t="shared" si="7"/>
        <v>0</v>
      </c>
      <c r="F11" s="9">
        <f t="shared" si="8"/>
        <v>0</v>
      </c>
      <c r="G11" s="10">
        <f t="shared" ca="1" si="0"/>
        <v>0</v>
      </c>
      <c r="H11" s="10">
        <f t="shared" si="9"/>
        <v>0</v>
      </c>
      <c r="I11" s="10">
        <f t="shared" si="10"/>
        <v>0</v>
      </c>
      <c r="J11" s="26" t="b">
        <f t="shared" si="1"/>
        <v>0</v>
      </c>
      <c r="K11" s="26" t="str">
        <f t="shared" si="2"/>
        <v/>
      </c>
      <c r="L11" s="8">
        <f t="shared" si="3"/>
        <v>0</v>
      </c>
      <c r="M11" s="26" t="str">
        <f t="shared" si="4"/>
        <v/>
      </c>
      <c r="N11" s="26" t="b">
        <f t="shared" si="5"/>
        <v>0</v>
      </c>
      <c r="O11" s="10">
        <f t="shared" si="11"/>
        <v>0</v>
      </c>
      <c r="P11" s="10">
        <f t="shared" si="12"/>
        <v>0</v>
      </c>
      <c r="Q11" s="10">
        <f t="shared" ca="1" si="6"/>
        <v>0</v>
      </c>
      <c r="R11" s="9">
        <f t="shared" si="13"/>
        <v>0</v>
      </c>
      <c r="S11" s="9">
        <f t="shared" si="14"/>
        <v>0</v>
      </c>
      <c r="T11" s="1" t="s">
        <v>7</v>
      </c>
    </row>
    <row r="12" spans="1:20" ht="15" customHeight="1" thickBot="1">
      <c r="A12" s="23" t="s">
        <v>32</v>
      </c>
      <c r="C12" s="24" t="b">
        <f>SubscribeQuotes("NSE_INDEX",C10,PING)</f>
        <v>0</v>
      </c>
      <c r="D12" s="1" t="s">
        <v>7</v>
      </c>
      <c r="E12" s="9">
        <f t="shared" si="7"/>
        <v>0</v>
      </c>
      <c r="F12" s="9">
        <f t="shared" si="8"/>
        <v>0</v>
      </c>
      <c r="G12" s="10">
        <f t="shared" ca="1" si="0"/>
        <v>0</v>
      </c>
      <c r="H12" s="10">
        <f t="shared" si="9"/>
        <v>0</v>
      </c>
      <c r="I12" s="10">
        <f t="shared" si="10"/>
        <v>0</v>
      </c>
      <c r="J12" s="26" t="b">
        <f t="shared" si="1"/>
        <v>0</v>
      </c>
      <c r="K12" s="26" t="str">
        <f t="shared" si="2"/>
        <v/>
      </c>
      <c r="L12" s="27">
        <f>IF(L13&gt;0,L13-STRIKE_INTERVAL,0)</f>
        <v>0</v>
      </c>
      <c r="M12" s="26" t="str">
        <f t="shared" si="4"/>
        <v/>
      </c>
      <c r="N12" s="26" t="b">
        <f t="shared" si="5"/>
        <v>0</v>
      </c>
      <c r="O12" s="10">
        <f t="shared" si="11"/>
        <v>0</v>
      </c>
      <c r="P12" s="10">
        <f t="shared" si="12"/>
        <v>0</v>
      </c>
      <c r="Q12" s="10">
        <f t="shared" ca="1" si="6"/>
        <v>0</v>
      </c>
      <c r="R12" s="9">
        <f t="shared" si="13"/>
        <v>0</v>
      </c>
      <c r="S12" s="9">
        <f t="shared" si="14"/>
        <v>0</v>
      </c>
      <c r="T12" s="1" t="s">
        <v>7</v>
      </c>
    </row>
    <row r="13" spans="1:20" ht="15" customHeight="1" thickBot="1">
      <c r="A13" s="23" t="s">
        <v>33</v>
      </c>
      <c r="C13" s="24" t="b">
        <f>SubscribeQuotes("NFO",C11,PING)</f>
        <v>0</v>
      </c>
      <c r="D13" s="1" t="s">
        <v>7</v>
      </c>
      <c r="E13" s="9">
        <f t="shared" si="7"/>
        <v>0</v>
      </c>
      <c r="F13" s="9">
        <f t="shared" si="8"/>
        <v>0</v>
      </c>
      <c r="G13" s="10">
        <f t="shared" ca="1" si="0"/>
        <v>0</v>
      </c>
      <c r="H13" s="10">
        <f t="shared" si="9"/>
        <v>0</v>
      </c>
      <c r="I13" s="10">
        <f t="shared" si="10"/>
        <v>0</v>
      </c>
      <c r="J13" s="26" t="b">
        <f t="shared" si="1"/>
        <v>0</v>
      </c>
      <c r="K13" s="26" t="str">
        <f t="shared" si="2"/>
        <v/>
      </c>
      <c r="L13" s="29">
        <f>MROUND(OPEN_TRACK,STRIKE_INTERVAL)</f>
        <v>0</v>
      </c>
      <c r="M13" s="26" t="str">
        <f t="shared" si="4"/>
        <v/>
      </c>
      <c r="N13" s="26" t="b">
        <f t="shared" si="5"/>
        <v>0</v>
      </c>
      <c r="O13" s="10">
        <f t="shared" si="11"/>
        <v>0</v>
      </c>
      <c r="P13" s="10">
        <f t="shared" si="12"/>
        <v>0</v>
      </c>
      <c r="Q13" s="10">
        <f t="shared" ca="1" si="6"/>
        <v>0</v>
      </c>
      <c r="R13" s="9">
        <f t="shared" si="13"/>
        <v>0</v>
      </c>
      <c r="S13" s="9">
        <f t="shared" si="14"/>
        <v>0</v>
      </c>
      <c r="T13" s="1" t="s">
        <v>7</v>
      </c>
    </row>
    <row r="14" spans="1:20" ht="15" customHeight="1">
      <c r="A14" s="23" t="s">
        <v>28</v>
      </c>
      <c r="C14" s="7">
        <f>GetRTD("NSE_INDEX",C10,"LAST")</f>
        <v>0</v>
      </c>
      <c r="D14" s="1" t="s">
        <v>7</v>
      </c>
      <c r="E14" s="9">
        <f t="shared" si="7"/>
        <v>0</v>
      </c>
      <c r="F14" s="9">
        <f t="shared" si="8"/>
        <v>0</v>
      </c>
      <c r="G14" s="10">
        <f t="shared" ca="1" si="0"/>
        <v>0</v>
      </c>
      <c r="H14" s="10">
        <f t="shared" si="9"/>
        <v>0</v>
      </c>
      <c r="I14" s="10">
        <f t="shared" si="10"/>
        <v>0</v>
      </c>
      <c r="J14" s="26" t="b">
        <f t="shared" si="1"/>
        <v>0</v>
      </c>
      <c r="K14" s="26" t="str">
        <f t="shared" si="2"/>
        <v/>
      </c>
      <c r="L14" s="28">
        <f t="shared" ref="L14:L23" si="15">IF(L13&gt;0,L13+STRIKE_INTERVAL,0)</f>
        <v>0</v>
      </c>
      <c r="M14" s="26" t="str">
        <f t="shared" si="4"/>
        <v/>
      </c>
      <c r="N14" s="26" t="b">
        <f t="shared" si="5"/>
        <v>0</v>
      </c>
      <c r="O14" s="10">
        <f t="shared" si="11"/>
        <v>0</v>
      </c>
      <c r="P14" s="10">
        <f t="shared" si="12"/>
        <v>0</v>
      </c>
      <c r="Q14" s="10">
        <f t="shared" ca="1" si="6"/>
        <v>0</v>
      </c>
      <c r="R14" s="9">
        <f t="shared" si="13"/>
        <v>0</v>
      </c>
      <c r="S14" s="9">
        <f t="shared" si="14"/>
        <v>0</v>
      </c>
      <c r="T14" s="1" t="s">
        <v>7</v>
      </c>
    </row>
    <row r="15" spans="1:20" ht="15" customHeight="1">
      <c r="A15" s="23" t="s">
        <v>27</v>
      </c>
      <c r="C15" s="7">
        <f>GetRTD("NFO",C11,"LAST")</f>
        <v>0</v>
      </c>
      <c r="D15" s="1" t="s">
        <v>7</v>
      </c>
      <c r="E15" s="9">
        <f t="shared" si="7"/>
        <v>0</v>
      </c>
      <c r="F15" s="9">
        <f t="shared" si="8"/>
        <v>0</v>
      </c>
      <c r="G15" s="10">
        <f t="shared" ca="1" si="0"/>
        <v>0</v>
      </c>
      <c r="H15" s="10">
        <f t="shared" si="9"/>
        <v>0</v>
      </c>
      <c r="I15" s="10">
        <f t="shared" si="10"/>
        <v>0</v>
      </c>
      <c r="J15" s="26" t="b">
        <f t="shared" si="1"/>
        <v>0</v>
      </c>
      <c r="K15" s="26" t="str">
        <f t="shared" si="2"/>
        <v/>
      </c>
      <c r="L15" s="8">
        <f t="shared" si="15"/>
        <v>0</v>
      </c>
      <c r="M15" s="26" t="str">
        <f t="shared" si="4"/>
        <v/>
      </c>
      <c r="N15" s="26" t="b">
        <f t="shared" si="5"/>
        <v>0</v>
      </c>
      <c r="O15" s="10">
        <f t="shared" si="11"/>
        <v>0</v>
      </c>
      <c r="P15" s="10">
        <f t="shared" si="12"/>
        <v>0</v>
      </c>
      <c r="Q15" s="10">
        <f t="shared" ca="1" si="6"/>
        <v>0</v>
      </c>
      <c r="R15" s="9">
        <f t="shared" si="13"/>
        <v>0</v>
      </c>
      <c r="S15" s="9">
        <f t="shared" si="14"/>
        <v>0</v>
      </c>
      <c r="T15" s="1" t="s">
        <v>7</v>
      </c>
    </row>
    <row r="16" spans="1:20" ht="15" customHeight="1">
      <c r="A16" s="23" t="s">
        <v>0</v>
      </c>
      <c r="C16" s="7">
        <f>IF(C9="YES",C14,C15)</f>
        <v>0</v>
      </c>
      <c r="D16" s="1" t="s">
        <v>7</v>
      </c>
      <c r="E16" s="9">
        <f t="shared" si="7"/>
        <v>0</v>
      </c>
      <c r="F16" s="9">
        <f t="shared" si="8"/>
        <v>0</v>
      </c>
      <c r="G16" s="10">
        <f t="shared" ca="1" si="0"/>
        <v>0</v>
      </c>
      <c r="H16" s="10">
        <f t="shared" si="9"/>
        <v>0</v>
      </c>
      <c r="I16" s="10">
        <f t="shared" si="10"/>
        <v>0</v>
      </c>
      <c r="J16" s="26" t="b">
        <f t="shared" si="1"/>
        <v>0</v>
      </c>
      <c r="K16" s="26" t="str">
        <f t="shared" si="2"/>
        <v/>
      </c>
      <c r="L16" s="8">
        <f t="shared" si="15"/>
        <v>0</v>
      </c>
      <c r="M16" s="26" t="str">
        <f t="shared" si="4"/>
        <v/>
      </c>
      <c r="N16" s="26" t="b">
        <f t="shared" si="5"/>
        <v>0</v>
      </c>
      <c r="O16" s="10">
        <f t="shared" si="11"/>
        <v>0</v>
      </c>
      <c r="P16" s="10">
        <f t="shared" si="12"/>
        <v>0</v>
      </c>
      <c r="Q16" s="10">
        <f t="shared" ca="1" si="6"/>
        <v>0</v>
      </c>
      <c r="R16" s="9">
        <f t="shared" si="13"/>
        <v>0</v>
      </c>
      <c r="S16" s="9">
        <f t="shared" si="14"/>
        <v>0</v>
      </c>
      <c r="T16" s="1" t="s">
        <v>7</v>
      </c>
    </row>
    <row r="17" spans="1:20" ht="15" customHeight="1">
      <c r="A17" s="23" t="s">
        <v>13</v>
      </c>
      <c r="C17" s="7">
        <f>GetRTD(IF(C9="YES","NSE_INDEX","NFO"),IF(C9="YES",C10,C11),"OPEN")</f>
        <v>0</v>
      </c>
      <c r="D17" s="1" t="s">
        <v>7</v>
      </c>
      <c r="E17" s="9">
        <f t="shared" si="7"/>
        <v>0</v>
      </c>
      <c r="F17" s="9">
        <f t="shared" si="8"/>
        <v>0</v>
      </c>
      <c r="G17" s="10">
        <f t="shared" ca="1" si="0"/>
        <v>0</v>
      </c>
      <c r="H17" s="10">
        <f t="shared" si="9"/>
        <v>0</v>
      </c>
      <c r="I17" s="10">
        <f t="shared" si="10"/>
        <v>0</v>
      </c>
      <c r="J17" s="26" t="b">
        <f t="shared" si="1"/>
        <v>0</v>
      </c>
      <c r="K17" s="26" t="str">
        <f t="shared" si="2"/>
        <v/>
      </c>
      <c r="L17" s="8">
        <f t="shared" si="15"/>
        <v>0</v>
      </c>
      <c r="M17" s="26" t="str">
        <f t="shared" si="4"/>
        <v/>
      </c>
      <c r="N17" s="26" t="b">
        <f t="shared" si="5"/>
        <v>0</v>
      </c>
      <c r="O17" s="10">
        <f t="shared" si="11"/>
        <v>0</v>
      </c>
      <c r="P17" s="10">
        <f t="shared" si="12"/>
        <v>0</v>
      </c>
      <c r="Q17" s="10">
        <f t="shared" ca="1" si="6"/>
        <v>0</v>
      </c>
      <c r="R17" s="9">
        <f t="shared" si="13"/>
        <v>0</v>
      </c>
      <c r="S17" s="9">
        <f t="shared" si="14"/>
        <v>0</v>
      </c>
      <c r="T17" s="1" t="s">
        <v>7</v>
      </c>
    </row>
    <row r="18" spans="1:20" ht="15" customHeight="1">
      <c r="A18" s="23" t="s">
        <v>18</v>
      </c>
      <c r="C18" s="6">
        <f>IF(SYMBOL="NIFTY",50,100)</f>
        <v>50</v>
      </c>
      <c r="D18" s="1" t="s">
        <v>7</v>
      </c>
      <c r="E18" s="9">
        <f t="shared" si="7"/>
        <v>0</v>
      </c>
      <c r="F18" s="9">
        <f t="shared" si="8"/>
        <v>0</v>
      </c>
      <c r="G18" s="10">
        <f t="shared" ca="1" si="0"/>
        <v>0</v>
      </c>
      <c r="H18" s="10">
        <f t="shared" si="9"/>
        <v>0</v>
      </c>
      <c r="I18" s="10">
        <f t="shared" si="10"/>
        <v>0</v>
      </c>
      <c r="J18" s="26" t="b">
        <f t="shared" si="1"/>
        <v>0</v>
      </c>
      <c r="K18" s="26" t="str">
        <f t="shared" si="2"/>
        <v/>
      </c>
      <c r="L18" s="8">
        <f t="shared" si="15"/>
        <v>0</v>
      </c>
      <c r="M18" s="26" t="str">
        <f t="shared" si="4"/>
        <v/>
      </c>
      <c r="N18" s="26" t="b">
        <f t="shared" si="5"/>
        <v>0</v>
      </c>
      <c r="O18" s="10">
        <f t="shared" si="11"/>
        <v>0</v>
      </c>
      <c r="P18" s="10">
        <f t="shared" si="12"/>
        <v>0</v>
      </c>
      <c r="Q18" s="10">
        <f t="shared" ca="1" si="6"/>
        <v>0</v>
      </c>
      <c r="R18" s="9">
        <f t="shared" si="13"/>
        <v>0</v>
      </c>
      <c r="S18" s="9">
        <f t="shared" si="14"/>
        <v>0</v>
      </c>
      <c r="T18" s="1" t="s">
        <v>7</v>
      </c>
    </row>
    <row r="19" spans="1:20" ht="15" customHeight="1">
      <c r="D19" s="1" t="s">
        <v>7</v>
      </c>
      <c r="E19" s="9">
        <f t="shared" si="7"/>
        <v>0</v>
      </c>
      <c r="F19" s="9">
        <f t="shared" si="8"/>
        <v>0</v>
      </c>
      <c r="G19" s="10">
        <f t="shared" ca="1" si="0"/>
        <v>0</v>
      </c>
      <c r="H19" s="10">
        <f t="shared" si="9"/>
        <v>0</v>
      </c>
      <c r="I19" s="10">
        <f t="shared" si="10"/>
        <v>0</v>
      </c>
      <c r="J19" s="26" t="b">
        <f t="shared" si="1"/>
        <v>0</v>
      </c>
      <c r="K19" s="26" t="str">
        <f t="shared" si="2"/>
        <v/>
      </c>
      <c r="L19" s="8">
        <f t="shared" si="15"/>
        <v>0</v>
      </c>
      <c r="M19" s="26" t="str">
        <f t="shared" si="4"/>
        <v/>
      </c>
      <c r="N19" s="26" t="b">
        <f t="shared" si="5"/>
        <v>0</v>
      </c>
      <c r="O19" s="10">
        <f t="shared" si="11"/>
        <v>0</v>
      </c>
      <c r="P19" s="10">
        <f t="shared" si="12"/>
        <v>0</v>
      </c>
      <c r="Q19" s="10">
        <f t="shared" ca="1" si="6"/>
        <v>0</v>
      </c>
      <c r="R19" s="9">
        <f t="shared" si="13"/>
        <v>0</v>
      </c>
      <c r="S19" s="9">
        <f t="shared" si="14"/>
        <v>0</v>
      </c>
      <c r="T19" s="1" t="s">
        <v>7</v>
      </c>
    </row>
    <row r="20" spans="1:20" ht="15" customHeight="1">
      <c r="D20" s="1" t="s">
        <v>7</v>
      </c>
      <c r="E20" s="9">
        <f t="shared" si="7"/>
        <v>0</v>
      </c>
      <c r="F20" s="9">
        <f t="shared" si="8"/>
        <v>0</v>
      </c>
      <c r="G20" s="10">
        <f t="shared" ca="1" si="0"/>
        <v>0</v>
      </c>
      <c r="H20" s="10">
        <f t="shared" si="9"/>
        <v>0</v>
      </c>
      <c r="I20" s="10">
        <f t="shared" si="10"/>
        <v>0</v>
      </c>
      <c r="J20" s="26" t="b">
        <f t="shared" si="1"/>
        <v>0</v>
      </c>
      <c r="K20" s="26" t="str">
        <f t="shared" si="2"/>
        <v/>
      </c>
      <c r="L20" s="8">
        <f t="shared" si="15"/>
        <v>0</v>
      </c>
      <c r="M20" s="26" t="str">
        <f t="shared" si="4"/>
        <v/>
      </c>
      <c r="N20" s="26" t="b">
        <f t="shared" si="5"/>
        <v>0</v>
      </c>
      <c r="O20" s="10">
        <f t="shared" si="11"/>
        <v>0</v>
      </c>
      <c r="P20" s="10">
        <f t="shared" si="12"/>
        <v>0</v>
      </c>
      <c r="Q20" s="10">
        <f t="shared" ca="1" si="6"/>
        <v>0</v>
      </c>
      <c r="R20" s="9">
        <f t="shared" si="13"/>
        <v>0</v>
      </c>
      <c r="S20" s="9">
        <f t="shared" si="14"/>
        <v>0</v>
      </c>
      <c r="T20" s="1" t="s">
        <v>7</v>
      </c>
    </row>
    <row r="21" spans="1:20" ht="15" customHeight="1">
      <c r="D21" s="1" t="s">
        <v>7</v>
      </c>
      <c r="E21" s="9">
        <f t="shared" si="7"/>
        <v>0</v>
      </c>
      <c r="F21" s="9">
        <f t="shared" si="8"/>
        <v>0</v>
      </c>
      <c r="G21" s="10">
        <f t="shared" ca="1" si="0"/>
        <v>0</v>
      </c>
      <c r="H21" s="10">
        <f t="shared" si="9"/>
        <v>0</v>
      </c>
      <c r="I21" s="10">
        <f t="shared" si="10"/>
        <v>0</v>
      </c>
      <c r="J21" s="26" t="b">
        <f t="shared" si="1"/>
        <v>0</v>
      </c>
      <c r="K21" s="26" t="str">
        <f t="shared" si="2"/>
        <v/>
      </c>
      <c r="L21" s="8">
        <f t="shared" si="15"/>
        <v>0</v>
      </c>
      <c r="M21" s="26" t="str">
        <f t="shared" si="4"/>
        <v/>
      </c>
      <c r="N21" s="26" t="b">
        <f t="shared" si="5"/>
        <v>0</v>
      </c>
      <c r="O21" s="10">
        <f t="shared" si="11"/>
        <v>0</v>
      </c>
      <c r="P21" s="10">
        <f t="shared" si="12"/>
        <v>0</v>
      </c>
      <c r="Q21" s="10">
        <f t="shared" ca="1" si="6"/>
        <v>0</v>
      </c>
      <c r="R21" s="9">
        <f t="shared" si="13"/>
        <v>0</v>
      </c>
      <c r="S21" s="9">
        <f t="shared" si="14"/>
        <v>0</v>
      </c>
      <c r="T21" s="1" t="s">
        <v>7</v>
      </c>
    </row>
    <row r="22" spans="1:20" ht="15" customHeight="1">
      <c r="D22" s="1" t="s">
        <v>7</v>
      </c>
      <c r="E22" s="9">
        <f t="shared" si="7"/>
        <v>0</v>
      </c>
      <c r="F22" s="9">
        <f t="shared" si="8"/>
        <v>0</v>
      </c>
      <c r="G22" s="10">
        <f t="shared" ca="1" si="0"/>
        <v>0</v>
      </c>
      <c r="H22" s="10">
        <f t="shared" si="9"/>
        <v>0</v>
      </c>
      <c r="I22" s="10">
        <f t="shared" si="10"/>
        <v>0</v>
      </c>
      <c r="J22" s="26" t="b">
        <f t="shared" si="1"/>
        <v>0</v>
      </c>
      <c r="K22" s="26" t="str">
        <f t="shared" si="2"/>
        <v/>
      </c>
      <c r="L22" s="8">
        <f t="shared" si="15"/>
        <v>0</v>
      </c>
      <c r="M22" s="26" t="str">
        <f t="shared" si="4"/>
        <v/>
      </c>
      <c r="N22" s="26" t="b">
        <f t="shared" si="5"/>
        <v>0</v>
      </c>
      <c r="O22" s="10">
        <f t="shared" si="11"/>
        <v>0</v>
      </c>
      <c r="P22" s="10">
        <f t="shared" si="12"/>
        <v>0</v>
      </c>
      <c r="Q22" s="10">
        <f t="shared" ca="1" si="6"/>
        <v>0</v>
      </c>
      <c r="R22" s="9">
        <f t="shared" si="13"/>
        <v>0</v>
      </c>
      <c r="S22" s="9">
        <f t="shared" si="14"/>
        <v>0</v>
      </c>
      <c r="T22" s="1" t="s">
        <v>7</v>
      </c>
    </row>
    <row r="23" spans="1:20" ht="15" customHeight="1">
      <c r="D23" s="1" t="s">
        <v>7</v>
      </c>
      <c r="E23" s="9">
        <f t="shared" si="7"/>
        <v>0</v>
      </c>
      <c r="F23" s="9">
        <f t="shared" si="8"/>
        <v>0</v>
      </c>
      <c r="G23" s="10">
        <f t="shared" ca="1" si="0"/>
        <v>0</v>
      </c>
      <c r="H23" s="10">
        <f t="shared" si="9"/>
        <v>0</v>
      </c>
      <c r="I23" s="10">
        <f t="shared" si="10"/>
        <v>0</v>
      </c>
      <c r="J23" s="26" t="b">
        <f t="shared" si="1"/>
        <v>0</v>
      </c>
      <c r="K23" s="26" t="str">
        <f t="shared" si="2"/>
        <v/>
      </c>
      <c r="L23" s="8">
        <f t="shared" si="15"/>
        <v>0</v>
      </c>
      <c r="M23" s="26" t="str">
        <f t="shared" si="4"/>
        <v/>
      </c>
      <c r="N23" s="26" t="b">
        <f t="shared" si="5"/>
        <v>0</v>
      </c>
      <c r="O23" s="10">
        <f t="shared" si="11"/>
        <v>0</v>
      </c>
      <c r="P23" s="10">
        <f t="shared" si="12"/>
        <v>0</v>
      </c>
      <c r="Q23" s="10">
        <f t="shared" ca="1" si="6"/>
        <v>0</v>
      </c>
      <c r="R23" s="9">
        <f t="shared" si="13"/>
        <v>0</v>
      </c>
      <c r="S23" s="9">
        <f t="shared" si="14"/>
        <v>0</v>
      </c>
      <c r="T23" s="1" t="s">
        <v>7</v>
      </c>
    </row>
    <row r="25" spans="1:20" ht="15" customHeight="1">
      <c r="A25" s="16"/>
      <c r="B25" s="16"/>
      <c r="C25" s="16"/>
    </row>
    <row r="26" spans="1:20" ht="15" customHeight="1">
      <c r="A26" s="16"/>
      <c r="B26" s="16"/>
      <c r="C26" s="16"/>
    </row>
    <row r="27" spans="1:20" ht="15" customHeight="1">
      <c r="A27" s="16"/>
      <c r="B27" s="16"/>
      <c r="C27" s="16"/>
    </row>
    <row r="28" spans="1:20" ht="15" customHeight="1">
      <c r="A28" s="16"/>
      <c r="B28" s="16"/>
      <c r="C28" s="16"/>
    </row>
    <row r="29" spans="1:20" ht="15" customHeight="1">
      <c r="A29" s="16"/>
      <c r="B29" s="16"/>
      <c r="C29" s="16"/>
    </row>
    <row r="30" spans="1:20" ht="15" customHeight="1">
      <c r="A30" s="16"/>
      <c r="B30" s="16"/>
      <c r="C30" s="16"/>
    </row>
    <row r="36" spans="1:3" ht="15" customHeight="1">
      <c r="A36" s="16"/>
      <c r="B36" s="16"/>
      <c r="C36" s="16"/>
    </row>
  </sheetData>
  <sheetProtection sheet="1" objects="1" scenarios="1" formatCells="0" formatColumns="0" formatRows="0"/>
  <dataConsolidate/>
  <mergeCells count="4">
    <mergeCell ref="M1:S1"/>
    <mergeCell ref="A1:C1"/>
    <mergeCell ref="L1:L2"/>
    <mergeCell ref="E1:K1"/>
  </mergeCells>
  <conditionalFormatting sqref="I3:I23 O3:O23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5">
    <dataValidation type="list" allowBlank="1" showInputMessage="1" showErrorMessage="1" sqref="C9">
      <formula1>"YES,NO"</formula1>
    </dataValidation>
    <dataValidation type="decimal" allowBlank="1" showInputMessage="1" showErrorMessage="1" sqref="C5">
      <formula1>0.01</formula1>
      <formula2>500</formula2>
    </dataValidation>
    <dataValidation type="decimal" allowBlank="1" showInputMessage="1" showErrorMessage="1" sqref="C6:C7">
      <formula1>0</formula1>
      <formula2>500</formula2>
    </dataValidation>
    <dataValidation type="list" allowBlank="1" showInputMessage="1" showErrorMessage="1" sqref="C2">
      <formula1>"NIFTY,BANKNIFTY"</formula1>
    </dataValidation>
    <dataValidation type="list" allowBlank="1" showInputMessage="1" showErrorMessage="1" sqref="B3:B4">
      <formula1>"1,2,3,4,5"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STATUS</vt:lpstr>
      <vt:lpstr>OPTION_CHAIN</vt:lpstr>
      <vt:lpstr>OPTION_CHAIN!DAYS_TO_EXPIRY</vt:lpstr>
      <vt:lpstr>OPTION_CHAIN!DIVIDEND_YIELD</vt:lpstr>
      <vt:lpstr>OPTION_CHAIN!EXPIRY_FUT</vt:lpstr>
      <vt:lpstr>OPTION_CHAIN!EXPIRY_OPT</vt:lpstr>
      <vt:lpstr>OPTION_CHAIN!INTEREST_RATE</vt:lpstr>
      <vt:lpstr>OPTION_CHAIN!LTP_TRACK</vt:lpstr>
      <vt:lpstr>OPTION_CHAIN!OPEN_TRACK</vt:lpstr>
      <vt:lpstr>PING</vt:lpstr>
      <vt:lpstr>OPTION_CHAIN!STRIKE_INTERVAL</vt:lpstr>
      <vt:lpstr>OPTION_CHAIN!SYMBOL</vt:lpstr>
      <vt:lpstr>OPTION_CHAIN!VOLATILITY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2022-02-07T02:07:10Z</dcterms:modified>
</cp:coreProperties>
</file>