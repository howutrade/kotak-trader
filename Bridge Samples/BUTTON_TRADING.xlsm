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05" windowWidth="14805" windowHeight="8010" tabRatio="747" activeTab="1"/>
  </bookViews>
  <sheets>
    <sheet name="STATUS" sheetId="37" r:id="rId1"/>
    <sheet name="BUTTON_TRADING" sheetId="35" r:id="rId2"/>
  </sheets>
  <functionGroups/>
  <definedNames>
    <definedName name="PING">STATUS!$C$4</definedName>
  </definedNames>
  <calcPr calcId="125725" calcOnSave="0"/>
</workbook>
</file>

<file path=xl/calcChain.xml><?xml version="1.0" encoding="utf-8"?>
<calcChain xmlns="http://schemas.openxmlformats.org/spreadsheetml/2006/main">
  <c r="Q3" i="35"/>
  <c r="Q4"/>
  <c r="Q5"/>
  <c r="Q6"/>
  <c r="Q7"/>
  <c r="Q8"/>
  <c r="Q9"/>
  <c r="Q10"/>
  <c r="Q11"/>
  <c r="Q12"/>
  <c r="Q13"/>
  <c r="Q14"/>
  <c r="Q15"/>
  <c r="Q16"/>
  <c r="Q2"/>
  <c r="P4"/>
  <c r="P12"/>
  <c r="R2"/>
  <c r="R9"/>
  <c r="C6" i="37"/>
  <c r="I15" i="35"/>
  <c r="S15"/>
  <c r="R6"/>
  <c r="R14"/>
  <c r="P9"/>
  <c r="I5"/>
  <c r="P10"/>
  <c r="C7" i="37"/>
  <c r="R7" i="35"/>
  <c r="R15"/>
  <c r="I11"/>
  <c r="I14"/>
  <c r="R8"/>
  <c r="R16"/>
  <c r="P7"/>
  <c r="P15"/>
  <c r="I9"/>
  <c r="I12"/>
  <c r="P5"/>
  <c r="I13"/>
  <c r="S9"/>
  <c r="P8"/>
  <c r="P16"/>
  <c r="R5"/>
  <c r="R13"/>
  <c r="I7"/>
  <c r="I10"/>
  <c r="S10" s="1"/>
  <c r="C4" i="37"/>
  <c r="R10" i="35"/>
  <c r="P2"/>
  <c r="C5" i="37"/>
  <c r="I8" i="35"/>
  <c r="S8" s="1"/>
  <c r="P6"/>
  <c r="P14"/>
  <c r="R3"/>
  <c r="R11"/>
  <c r="I3"/>
  <c r="S3" s="1"/>
  <c r="I6"/>
  <c r="S6" s="1"/>
  <c r="S7"/>
  <c r="R4"/>
  <c r="R12"/>
  <c r="P3"/>
  <c r="P11"/>
  <c r="I4"/>
  <c r="S4" s="1"/>
  <c r="I2"/>
  <c r="S11"/>
  <c r="S5"/>
  <c r="P13"/>
  <c r="I16"/>
  <c r="S12"/>
  <c r="S2"/>
  <c r="S16"/>
  <c r="S14"/>
  <c r="S13"/>
</calcChain>
</file>

<file path=xl/sharedStrings.xml><?xml version="1.0" encoding="utf-8"?>
<sst xmlns="http://schemas.openxmlformats.org/spreadsheetml/2006/main" count="131" uniqueCount="31">
  <si>
    <t>LTP</t>
  </si>
  <si>
    <t>SYMBOL</t>
  </si>
  <si>
    <t>EXPIRY</t>
  </si>
  <si>
    <t>TRDSYM</t>
  </si>
  <si>
    <t>STRIKE</t>
  </si>
  <si>
    <t>PING</t>
  </si>
  <si>
    <t>EXPNUM</t>
  </si>
  <si>
    <t>SUB</t>
  </si>
  <si>
    <t>*DoNot Change Column Header Names</t>
  </si>
  <si>
    <t>BUY</t>
  </si>
  <si>
    <t>SEGMENT</t>
  </si>
  <si>
    <t>EXCH</t>
  </si>
  <si>
    <t>OPT</t>
  </si>
  <si>
    <t>PRICE</t>
  </si>
  <si>
    <t>TRIGGER</t>
  </si>
  <si>
    <t>QTY</t>
  </si>
  <si>
    <t>ORDTYPE</t>
  </si>
  <si>
    <t>PRODTYPE</t>
  </si>
  <si>
    <t>SIDE</t>
  </si>
  <si>
    <t>SELL</t>
  </si>
  <si>
    <t>*Double click on the BUY/SELL button to place order</t>
  </si>
  <si>
    <t>RESP</t>
  </si>
  <si>
    <t>EQ</t>
  </si>
  <si>
    <t>CE</t>
  </si>
  <si>
    <t>NAME</t>
  </si>
  <si>
    <t>STATUS</t>
  </si>
  <si>
    <t>ID</t>
  </si>
  <si>
    <t>MARKET</t>
  </si>
  <si>
    <t>NRML</t>
  </si>
  <si>
    <t>NSE</t>
  </si>
  <si>
    <t>PORTNOTOPEN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</si>
</sst>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 tint="0.249977111117893"/>
      <name val="Cambria"/>
      <family val="1"/>
      <scheme val="major"/>
    </font>
    <font>
      <sz val="9"/>
      <color theme="1" tint="0.249977111117893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0"/>
      <color theme="0" tint="-4.9989318521683403E-2"/>
      <name val="Cambria"/>
      <family val="1"/>
      <scheme val="major"/>
    </font>
    <font>
      <b/>
      <sz val="10"/>
      <color theme="1" tint="0.249977111117893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rgb="FF0000FF"/>
        </stop>
        <stop position="0.5">
          <color rgb="FF8787FF"/>
        </stop>
        <stop position="1">
          <color rgb="FF0000FF"/>
        </stop>
      </gradientFill>
    </fill>
    <fill>
      <gradientFill degree="90">
        <stop position="0">
          <color rgb="FFFF0000"/>
        </stop>
        <stop position="0.5">
          <color rgb="FFFF8787"/>
        </stop>
        <stop position="1">
          <color rgb="FFFF0000"/>
        </stop>
      </gradient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26">
    <xf numFmtId="0" fontId="0" fillId="0" borderId="0" xfId="0"/>
    <xf numFmtId="2" fontId="2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horizontal="center" vertical="center"/>
    </xf>
    <xf numFmtId="2" fontId="2" fillId="2" borderId="1" xfId="0" applyNumberFormat="1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2" xfId="0" applyNumberFormat="1" applyFont="1" applyFill="1" applyBorder="1" applyAlignment="1" applyProtection="1">
      <alignment horizontal="center" vertical="center"/>
    </xf>
    <xf numFmtId="0" fontId="3" fillId="3" borderId="4" xfId="0" applyNumberFormat="1" applyFont="1" applyFill="1" applyBorder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0" xfId="0" applyNumberFormat="1" applyProtection="1"/>
    <xf numFmtId="0" fontId="4" fillId="0" borderId="0" xfId="0" applyNumberFormat="1" applyFont="1" applyBorder="1" applyAlignment="1" applyProtection="1">
      <alignment horizontal="left" vertical="center"/>
    </xf>
    <xf numFmtId="0" fontId="5" fillId="0" borderId="0" xfId="0" applyNumberFormat="1" applyFont="1" applyProtection="1"/>
    <xf numFmtId="0" fontId="6" fillId="4" borderId="1" xfId="0" applyNumberFormat="1" applyFont="1" applyFill="1" applyBorder="1" applyAlignment="1" applyProtection="1">
      <alignment horizontal="center" vertical="center"/>
    </xf>
    <xf numFmtId="0" fontId="6" fillId="5" borderId="1" xfId="0" applyNumberFormat="1" applyFont="1" applyFill="1" applyBorder="1" applyAlignment="1" applyProtection="1">
      <alignment horizontal="center" vertical="center"/>
    </xf>
    <xf numFmtId="0" fontId="2" fillId="0" borderId="0" xfId="0" applyFont="1"/>
    <xf numFmtId="0" fontId="2" fillId="0" borderId="0" xfId="0" applyNumberFormat="1" applyFont="1" applyProtection="1"/>
    <xf numFmtId="0" fontId="7" fillId="0" borderId="0" xfId="0" applyNumberFormat="1" applyFont="1" applyProtection="1"/>
    <xf numFmtId="0" fontId="7" fillId="0" borderId="0" xfId="0" applyNumberFormat="1" applyFont="1" applyBorder="1" applyAlignment="1" applyProtection="1">
      <alignment horizontal="left" vertical="center"/>
    </xf>
    <xf numFmtId="0" fontId="2" fillId="0" borderId="3" xfId="0" quotePrefix="1" applyFont="1" applyBorder="1" applyAlignment="1" applyProtection="1">
      <alignment horizontal="right" vertical="center"/>
      <protection locked="0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15" fontId="2" fillId="0" borderId="1" xfId="0" applyNumberFormat="1" applyFont="1" applyFill="1" applyBorder="1" applyAlignment="1" applyProtection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/>
  </cellStyles>
  <dxfs count="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000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AB"/>
      <color rgb="FFFFFF87"/>
      <color rgb="FFFFFF00"/>
      <color rgb="FFFF8787"/>
      <color rgb="FFFF0000"/>
      <color rgb="FF8787FF"/>
      <color rgb="FF0000FF"/>
      <color rgb="FFFFFF99"/>
      <color rgb="FFFFFFFF"/>
      <color rgb="FFFFFFCC"/>
    </mruColors>
  </colors>
</styleSheet>
</file>

<file path=xl/volatileDependencies.xml><?xml version="1.0" encoding="utf-8"?>
<volTypes xmlns="http://schemas.openxmlformats.org/spreadsheetml/2006/main">
  <volType type="realTimeData">
    <main first="kotaknet.rtd">
      <tp>
        <v>1</v>
        <stp/>
        <stp>PING2.PING2</stp>
        <stp>PING</stp>
        <tr r="C4" s="37"/>
      </tp>
      <tp>
        <v>0</v>
        <stp/>
        <stp>0.NSE</stp>
        <stp>LAST</stp>
        <tr r="I16" s="35"/>
        <tr r="I2" s="35"/>
        <tr r="I4" s="35"/>
        <tr r="I6" s="35"/>
        <tr r="I3" s="35"/>
        <tr r="I8" s="35"/>
        <tr r="I10" s="35"/>
        <tr r="I7" s="35"/>
        <tr r="I13" s="35"/>
        <tr r="I12" s="35"/>
        <tr r="I9" s="35"/>
        <tr r="I14" s="35"/>
        <tr r="I11" s="35"/>
        <tr r="I5" s="35"/>
        <tr r="I15" s="3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P48"/>
  <sheetViews>
    <sheetView showGridLines="0" workbookViewId="0">
      <selection activeCell="C5" sqref="C5"/>
    </sheetView>
  </sheetViews>
  <sheetFormatPr defaultColWidth="0" defaultRowHeight="15" customHeight="1" zeroHeight="1"/>
  <cols>
    <col min="1" max="1" width="20.7109375" style="2" customWidth="1"/>
    <col min="2" max="2" width="13" style="2" customWidth="1"/>
    <col min="3" max="3" width="54.85546875" style="2" customWidth="1"/>
    <col min="4" max="4" width="20.7109375" style="2" customWidth="1"/>
    <col min="5" max="5" width="9.140625" hidden="1" customWidth="1"/>
    <col min="6" max="6" width="7.42578125" hidden="1" customWidth="1"/>
    <col min="7" max="11" width="9.140625" hidden="1" customWidth="1"/>
    <col min="12" max="16" width="7.42578125" hidden="1" customWidth="1"/>
    <col min="17" max="16384" width="9.140625" hidden="1"/>
  </cols>
  <sheetData>
    <row r="1" spans="1:4" ht="15" customHeight="1">
      <c r="A1" s="15"/>
      <c r="B1" s="15"/>
      <c r="C1" s="15"/>
      <c r="D1" s="15"/>
    </row>
    <row r="2" spans="1:4" ht="15" customHeight="1">
      <c r="A2" s="15"/>
      <c r="B2" s="15"/>
      <c r="C2" s="15"/>
      <c r="D2" s="15"/>
    </row>
    <row r="3" spans="1:4" ht="15" customHeight="1">
      <c r="A3" s="15"/>
      <c r="B3" s="15"/>
      <c r="C3" s="15"/>
      <c r="D3" s="15"/>
    </row>
    <row r="4" spans="1:4" ht="15" customHeight="1">
      <c r="A4" s="15"/>
      <c r="B4" s="21" t="s">
        <v>5</v>
      </c>
      <c r="C4" s="19">
        <f>GetRTD("PING2","PING2","PING")</f>
        <v>1</v>
      </c>
      <c r="D4" s="15"/>
    </row>
    <row r="5" spans="1:4" ht="15" customHeight="1">
      <c r="A5" s="15"/>
      <c r="B5" s="21" t="s">
        <v>26</v>
      </c>
      <c r="C5" s="20" t="str">
        <f>GetClientID(PING)</f>
        <v>NA</v>
      </c>
      <c r="D5" s="15"/>
    </row>
    <row r="6" spans="1:4" ht="15" customHeight="1">
      <c r="A6" s="15"/>
      <c r="B6" s="21" t="s">
        <v>24</v>
      </c>
      <c r="C6" s="20" t="str">
        <f>GetClientName(PING)</f>
        <v>NA</v>
      </c>
      <c r="D6" s="15"/>
    </row>
    <row r="7" spans="1:4" ht="15" customHeight="1">
      <c r="A7" s="15"/>
      <c r="B7" s="21" t="s">
        <v>25</v>
      </c>
      <c r="C7" s="20" t="str">
        <f>GetBridgeStatus(PING)</f>
        <v>WAITING</v>
      </c>
      <c r="D7" s="15"/>
    </row>
    <row r="8" spans="1:4" ht="15" customHeight="1">
      <c r="A8" s="15"/>
      <c r="B8" s="15"/>
      <c r="C8" s="15"/>
      <c r="D8" s="15"/>
    </row>
    <row r="9" spans="1:4" ht="15" customHeight="1">
      <c r="A9" s="15"/>
      <c r="B9" s="15"/>
      <c r="C9" s="15"/>
      <c r="D9" s="15"/>
    </row>
    <row r="10" spans="1:4" ht="15" customHeight="1">
      <c r="A10" s="15"/>
      <c r="B10" s="15"/>
      <c r="C10" s="15"/>
      <c r="D10" s="15"/>
    </row>
    <row r="11" spans="1:4" ht="15" hidden="1" customHeight="1">
      <c r="A11" s="15"/>
      <c r="B11" s="15"/>
      <c r="C11" s="15"/>
      <c r="D11" s="15"/>
    </row>
    <row r="12" spans="1:4" ht="15" hidden="1" customHeight="1">
      <c r="A12" s="15"/>
      <c r="B12" s="15"/>
      <c r="C12" s="15"/>
      <c r="D12" s="15"/>
    </row>
    <row r="13" spans="1:4" ht="15" hidden="1" customHeight="1">
      <c r="A13" s="15"/>
      <c r="B13" s="15"/>
      <c r="C13" s="15"/>
      <c r="D13" s="15"/>
    </row>
    <row r="14" spans="1:4" ht="15" hidden="1" customHeight="1">
      <c r="A14" s="15"/>
      <c r="B14" s="15"/>
      <c r="C14" s="15"/>
      <c r="D14" s="15"/>
    </row>
    <row r="15" spans="1:4" ht="15" hidden="1" customHeight="1">
      <c r="A15" s="16"/>
      <c r="B15" s="17"/>
      <c r="C15" s="16"/>
      <c r="D15" s="16"/>
    </row>
    <row r="16" spans="1:4" ht="15" hidden="1" customHeight="1">
      <c r="A16" s="16"/>
      <c r="B16" s="16"/>
      <c r="C16" s="16"/>
      <c r="D16" s="16"/>
    </row>
    <row r="17" spans="1:4" ht="15" hidden="1" customHeight="1">
      <c r="A17" s="16"/>
      <c r="B17" s="16"/>
      <c r="C17" s="16"/>
      <c r="D17" s="16"/>
    </row>
    <row r="18" spans="1:4" ht="15" hidden="1" customHeight="1">
      <c r="A18" s="16"/>
      <c r="B18" s="16"/>
      <c r="C18" s="16"/>
      <c r="D18" s="16"/>
    </row>
    <row r="19" spans="1:4" ht="15" hidden="1" customHeight="1">
      <c r="A19" s="16"/>
      <c r="B19" s="16"/>
      <c r="C19" s="16"/>
      <c r="D19" s="16"/>
    </row>
    <row r="20" spans="1:4" ht="15" hidden="1" customHeight="1">
      <c r="A20" s="18"/>
      <c r="B20" s="16"/>
      <c r="C20" s="16"/>
      <c r="D20" s="16"/>
    </row>
    <row r="21" spans="1:4" ht="15" hidden="1" customHeight="1">
      <c r="A21" s="18"/>
      <c r="B21" s="16"/>
      <c r="C21" s="16"/>
      <c r="D21" s="16"/>
    </row>
    <row r="22" spans="1:4" ht="15" hidden="1" customHeight="1">
      <c r="A22" s="16"/>
      <c r="B22" s="16"/>
      <c r="C22" s="16"/>
      <c r="D22" s="16"/>
    </row>
    <row r="23" spans="1:4" ht="15" hidden="1" customHeight="1">
      <c r="A23" s="16"/>
      <c r="B23" s="16"/>
      <c r="C23" s="16"/>
      <c r="D23" s="16"/>
    </row>
    <row r="24" spans="1:4" ht="15" hidden="1" customHeight="1">
      <c r="A24" s="16"/>
      <c r="B24" s="16"/>
      <c r="C24" s="16"/>
      <c r="D24" s="16"/>
    </row>
    <row r="25" spans="1:4" ht="15" hidden="1" customHeight="1">
      <c r="A25" s="16"/>
      <c r="B25" s="16"/>
      <c r="C25" s="16"/>
      <c r="D25" s="16"/>
    </row>
    <row r="26" spans="1:4" ht="15" hidden="1" customHeight="1">
      <c r="A26" s="16"/>
      <c r="B26" s="16"/>
      <c r="C26" s="16"/>
      <c r="D26" s="16"/>
    </row>
    <row r="27" spans="1:4" ht="15" hidden="1" customHeight="1">
      <c r="A27" s="16"/>
      <c r="B27" s="16"/>
      <c r="C27" s="16"/>
      <c r="D27" s="16"/>
    </row>
    <row r="28" spans="1:4" ht="15" hidden="1" customHeight="1">
      <c r="A28" s="16"/>
      <c r="B28" s="16"/>
      <c r="C28" s="16"/>
      <c r="D28" s="16"/>
    </row>
    <row r="29" spans="1:4" ht="15" hidden="1" customHeight="1">
      <c r="A29" s="16"/>
      <c r="B29" s="16"/>
      <c r="C29" s="16"/>
      <c r="D29" s="16"/>
    </row>
    <row r="30" spans="1:4" ht="15" hidden="1" customHeight="1">
      <c r="A30" s="16"/>
      <c r="B30" s="16"/>
      <c r="C30" s="16"/>
      <c r="D30" s="16"/>
    </row>
    <row r="31" spans="1:4" ht="15" hidden="1" customHeight="1">
      <c r="A31" s="16"/>
      <c r="B31" s="16"/>
      <c r="C31" s="16"/>
      <c r="D31" s="16"/>
    </row>
    <row r="32" spans="1:4" ht="15" hidden="1" customHeight="1">
      <c r="A32" s="16"/>
      <c r="B32" s="16"/>
      <c r="C32" s="16"/>
      <c r="D32" s="16"/>
    </row>
    <row r="33" spans="1:4" ht="15" hidden="1" customHeight="1">
      <c r="A33" s="16"/>
      <c r="B33" s="16"/>
      <c r="C33" s="16"/>
      <c r="D33" s="16"/>
    </row>
    <row r="34" spans="1:4" ht="15" hidden="1" customHeight="1">
      <c r="A34" s="16"/>
      <c r="B34" s="16"/>
      <c r="C34" s="16"/>
      <c r="D34" s="16"/>
    </row>
    <row r="35" spans="1:4" ht="15" hidden="1" customHeight="1">
      <c r="A35" s="16"/>
      <c r="B35" s="16"/>
      <c r="C35" s="16"/>
      <c r="D35" s="16"/>
    </row>
    <row r="36" spans="1:4" ht="15" hidden="1" customHeight="1">
      <c r="A36" s="16"/>
      <c r="B36" s="16"/>
      <c r="C36" s="16"/>
      <c r="D36" s="16"/>
    </row>
    <row r="37" spans="1:4" ht="15" hidden="1" customHeight="1">
      <c r="A37" s="16"/>
      <c r="B37" s="16"/>
      <c r="C37" s="16"/>
      <c r="D37" s="16"/>
    </row>
    <row r="38" spans="1:4" ht="15" hidden="1" customHeight="1">
      <c r="A38" s="16"/>
      <c r="B38" s="16"/>
      <c r="C38" s="16"/>
      <c r="D38" s="16"/>
    </row>
    <row r="39" spans="1:4" ht="15" hidden="1" customHeight="1">
      <c r="A39" s="16"/>
      <c r="B39" s="16"/>
      <c r="C39" s="16"/>
      <c r="D39" s="16"/>
    </row>
    <row r="40" spans="1:4" ht="15" hidden="1" customHeight="1">
      <c r="A40" s="16"/>
      <c r="B40" s="16"/>
      <c r="C40" s="16"/>
      <c r="D40" s="16"/>
    </row>
    <row r="41" spans="1:4" ht="15" hidden="1" customHeight="1">
      <c r="A41" s="16"/>
      <c r="B41" s="16"/>
      <c r="C41" s="16"/>
      <c r="D41" s="16"/>
    </row>
    <row r="42" spans="1:4" ht="15" hidden="1" customHeight="1">
      <c r="A42" s="16"/>
      <c r="B42" s="16"/>
      <c r="C42" s="16"/>
      <c r="D42" s="16"/>
    </row>
    <row r="43" spans="1:4" ht="15" hidden="1" customHeight="1">
      <c r="A43" s="16"/>
      <c r="B43" s="16"/>
      <c r="C43" s="16"/>
      <c r="D43" s="16"/>
    </row>
    <row r="44" spans="1:4" ht="15" hidden="1" customHeight="1">
      <c r="A44" s="16"/>
      <c r="B44" s="16"/>
      <c r="C44" s="16"/>
      <c r="D44" s="16"/>
    </row>
    <row r="45" spans="1:4" ht="15" hidden="1" customHeight="1">
      <c r="A45" s="16"/>
      <c r="B45" s="16"/>
      <c r="C45" s="16"/>
      <c r="D45" s="16"/>
    </row>
    <row r="46" spans="1:4" ht="15" hidden="1" customHeight="1"/>
    <row r="47" spans="1:4" ht="15" hidden="1" customHeight="1"/>
    <row r="48" spans="1:4" ht="15" hidden="1" customHeight="1"/>
  </sheetData>
  <sheetProtection sheet="1" objects="1" scenarios="1" selectLockedCells="1" selectUnlockedCells="1"/>
  <conditionalFormatting sqref="C4">
    <cfRule type="expression" dxfId="7" priority="3">
      <formula>ISNUMBER($C$4)=FALSE</formula>
    </cfRule>
  </conditionalFormatting>
  <conditionalFormatting sqref="C7">
    <cfRule type="containsText" dxfId="6" priority="2" operator="containsText" text="CONNECTED">
      <formula>NOT(ISERROR(SEARCH("CONNECTED",C7)))</formula>
    </cfRule>
    <cfRule type="containsText" dxfId="5" priority="1" operator="containsText" text="WAITING">
      <formula>NOT(ISERROR(SEARCH("WAITING",C7)))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D48"/>
  <sheetViews>
    <sheetView showGridLines="0" tabSelected="1" workbookViewId="0"/>
  </sheetViews>
  <sheetFormatPr defaultRowHeight="15" customHeight="1"/>
  <cols>
    <col min="1" max="2" width="11.7109375" style="2" customWidth="1"/>
    <col min="3" max="8" width="9.140625" style="2"/>
    <col min="9" max="9" width="7.42578125" style="2" customWidth="1"/>
    <col min="10" max="14" width="9.140625" style="2"/>
    <col min="15" max="15" width="16.5703125" style="2" customWidth="1"/>
    <col min="16" max="16" width="10.85546875" style="2" customWidth="1"/>
    <col min="17" max="17" width="12.5703125" style="2" customWidth="1"/>
    <col min="18" max="18" width="9.85546875" style="2" customWidth="1"/>
    <col min="19" max="19" width="9.5703125" style="2" customWidth="1"/>
    <col min="20" max="16384" width="9.140625" style="2"/>
  </cols>
  <sheetData>
    <row r="1" spans="1:30" ht="15" customHeight="1">
      <c r="A1" s="5" t="s">
        <v>9</v>
      </c>
      <c r="B1" s="6" t="s">
        <v>19</v>
      </c>
      <c r="C1" s="7" t="s">
        <v>10</v>
      </c>
      <c r="D1" s="7" t="s">
        <v>11</v>
      </c>
      <c r="E1" s="7" t="s">
        <v>1</v>
      </c>
      <c r="F1" s="7" t="s">
        <v>6</v>
      </c>
      <c r="G1" s="7" t="s">
        <v>4</v>
      </c>
      <c r="H1" s="7" t="s">
        <v>12</v>
      </c>
      <c r="I1" s="7" t="s">
        <v>0</v>
      </c>
      <c r="J1" s="7" t="s">
        <v>13</v>
      </c>
      <c r="K1" s="7" t="s">
        <v>14</v>
      </c>
      <c r="L1" s="7" t="s">
        <v>15</v>
      </c>
      <c r="M1" s="7" t="s">
        <v>16</v>
      </c>
      <c r="N1" s="7" t="s">
        <v>17</v>
      </c>
      <c r="O1" s="7" t="s">
        <v>21</v>
      </c>
      <c r="P1" s="7" t="s">
        <v>2</v>
      </c>
      <c r="Q1" s="7" t="s">
        <v>3</v>
      </c>
      <c r="R1" s="7" t="s">
        <v>7</v>
      </c>
      <c r="S1" s="7" t="s">
        <v>18</v>
      </c>
    </row>
    <row r="2" spans="1:30" ht="15" customHeight="1">
      <c r="A2" s="13" t="s">
        <v>9</v>
      </c>
      <c r="B2" s="14" t="s">
        <v>19</v>
      </c>
      <c r="C2" s="24" t="s">
        <v>22</v>
      </c>
      <c r="D2" s="24" t="s">
        <v>29</v>
      </c>
      <c r="E2" s="25"/>
      <c r="F2" s="24">
        <v>1</v>
      </c>
      <c r="G2" s="24">
        <v>0</v>
      </c>
      <c r="H2" s="24" t="s">
        <v>23</v>
      </c>
      <c r="I2" s="1">
        <f>GetRTD(D2,Q2,"LAST")</f>
        <v>0</v>
      </c>
      <c r="J2" s="3">
        <v>0</v>
      </c>
      <c r="K2" s="3">
        <v>0</v>
      </c>
      <c r="L2" s="4">
        <v>0</v>
      </c>
      <c r="M2" s="24" t="s">
        <v>27</v>
      </c>
      <c r="N2" s="24" t="s">
        <v>28</v>
      </c>
      <c r="O2" s="23" t="s">
        <v>30</v>
      </c>
      <c r="P2" s="22">
        <f t="shared" ref="P2:P16" si="0">GetContractExpiry(D2, E2, C2, F2,PING)</f>
        <v>0</v>
      </c>
      <c r="Q2" s="8">
        <f>IF(C2="EQ",E2,IF(C2="FUT",GetFutureTradeSymbol(D2, E2, P2),GetOptionTradeSymbol(D2, E2, P2, G2, H2)))</f>
        <v>0</v>
      </c>
      <c r="R2" s="8" t="b">
        <f t="shared" ref="R2:R16" si="1">SubscribeQuotes(D2,Q2,PING)</f>
        <v>0</v>
      </c>
      <c r="S2" s="8">
        <f>GetPriceSide(Q2, I2, "LTP", "BTN")</f>
        <v>0</v>
      </c>
      <c r="T2" s="9"/>
      <c r="U2" s="9"/>
      <c r="V2" s="9"/>
      <c r="W2" s="9"/>
      <c r="X2" s="9"/>
      <c r="Y2" s="9"/>
      <c r="Z2" s="9"/>
      <c r="AA2" s="9"/>
      <c r="AB2" s="9"/>
      <c r="AC2" s="9"/>
      <c r="AD2" s="9"/>
    </row>
    <row r="3" spans="1:30" ht="15" customHeight="1">
      <c r="A3" s="13" t="s">
        <v>9</v>
      </c>
      <c r="B3" s="14" t="s">
        <v>19</v>
      </c>
      <c r="C3" s="24" t="s">
        <v>22</v>
      </c>
      <c r="D3" s="24" t="s">
        <v>29</v>
      </c>
      <c r="E3" s="25"/>
      <c r="F3" s="24">
        <v>1</v>
      </c>
      <c r="G3" s="24">
        <v>0</v>
      </c>
      <c r="H3" s="24" t="s">
        <v>23</v>
      </c>
      <c r="I3" s="1">
        <f t="shared" ref="I3:I16" si="2">GetRTD(D3,Q3,"LAST")</f>
        <v>0</v>
      </c>
      <c r="J3" s="3">
        <v>0</v>
      </c>
      <c r="K3" s="3">
        <v>0</v>
      </c>
      <c r="L3" s="4">
        <v>0</v>
      </c>
      <c r="M3" s="24" t="s">
        <v>27</v>
      </c>
      <c r="N3" s="24" t="s">
        <v>28</v>
      </c>
      <c r="O3" s="23"/>
      <c r="P3" s="22">
        <f t="shared" si="0"/>
        <v>0</v>
      </c>
      <c r="Q3" s="8">
        <f>IF(C3="EQ",E3,IF(C3="FUT",GetFutureTradeSymbol(D3, E3, P3),GetOptionTradeSymbol(D3, E3, P3, G3, H3)))</f>
        <v>0</v>
      </c>
      <c r="R3" s="8" t="b">
        <f t="shared" si="1"/>
        <v>0</v>
      </c>
      <c r="S3" s="8">
        <f t="shared" ref="S3:S16" si="3">GetPriceSide(Q3, I3, "LTP", "BTN")</f>
        <v>0</v>
      </c>
    </row>
    <row r="4" spans="1:30" ht="15" customHeight="1">
      <c r="A4" s="13" t="s">
        <v>9</v>
      </c>
      <c r="B4" s="14" t="s">
        <v>19</v>
      </c>
      <c r="C4" s="24" t="s">
        <v>22</v>
      </c>
      <c r="D4" s="24" t="s">
        <v>29</v>
      </c>
      <c r="E4" s="25"/>
      <c r="F4" s="24">
        <v>1</v>
      </c>
      <c r="G4" s="24">
        <v>0</v>
      </c>
      <c r="H4" s="24" t="s">
        <v>23</v>
      </c>
      <c r="I4" s="1">
        <f t="shared" si="2"/>
        <v>0</v>
      </c>
      <c r="J4" s="3">
        <v>0</v>
      </c>
      <c r="K4" s="3">
        <v>0</v>
      </c>
      <c r="L4" s="4">
        <v>0</v>
      </c>
      <c r="M4" s="24" t="s">
        <v>27</v>
      </c>
      <c r="N4" s="24" t="s">
        <v>28</v>
      </c>
      <c r="O4" s="23"/>
      <c r="P4" s="22">
        <f t="shared" si="0"/>
        <v>0</v>
      </c>
      <c r="Q4" s="8">
        <f>IF(C4="EQ",E4,IF(C4="FUT",GetFutureTradeSymbol(D4, E4, P4),GetOptionTradeSymbol(D4, E4, P4, G4, H4)))</f>
        <v>0</v>
      </c>
      <c r="R4" s="8" t="b">
        <f t="shared" si="1"/>
        <v>0</v>
      </c>
      <c r="S4" s="8">
        <f t="shared" si="3"/>
        <v>0</v>
      </c>
    </row>
    <row r="5" spans="1:30" ht="15" customHeight="1">
      <c r="A5" s="13" t="s">
        <v>9</v>
      </c>
      <c r="B5" s="14" t="s">
        <v>19</v>
      </c>
      <c r="C5" s="24" t="s">
        <v>22</v>
      </c>
      <c r="D5" s="24" t="s">
        <v>29</v>
      </c>
      <c r="E5" s="25"/>
      <c r="F5" s="24">
        <v>1</v>
      </c>
      <c r="G5" s="24">
        <v>0</v>
      </c>
      <c r="H5" s="24" t="s">
        <v>23</v>
      </c>
      <c r="I5" s="1">
        <f t="shared" si="2"/>
        <v>0</v>
      </c>
      <c r="J5" s="3">
        <v>0</v>
      </c>
      <c r="K5" s="3">
        <v>0</v>
      </c>
      <c r="L5" s="4">
        <v>0</v>
      </c>
      <c r="M5" s="24" t="s">
        <v>27</v>
      </c>
      <c r="N5" s="24" t="s">
        <v>28</v>
      </c>
      <c r="O5" s="23"/>
      <c r="P5" s="22">
        <f t="shared" si="0"/>
        <v>0</v>
      </c>
      <c r="Q5" s="8">
        <f>IF(C5="EQ",E5,IF(C5="FUT",GetFutureTradeSymbol(D5, E5, P5),GetOptionTradeSymbol(D5, E5, P5, G5, H5)))</f>
        <v>0</v>
      </c>
      <c r="R5" s="8" t="b">
        <f t="shared" si="1"/>
        <v>0</v>
      </c>
      <c r="S5" s="8">
        <f t="shared" si="3"/>
        <v>0</v>
      </c>
    </row>
    <row r="6" spans="1:30" ht="15" customHeight="1">
      <c r="A6" s="13" t="s">
        <v>9</v>
      </c>
      <c r="B6" s="14" t="s">
        <v>19</v>
      </c>
      <c r="C6" s="24" t="s">
        <v>22</v>
      </c>
      <c r="D6" s="24" t="s">
        <v>29</v>
      </c>
      <c r="E6" s="25"/>
      <c r="F6" s="24">
        <v>1</v>
      </c>
      <c r="G6" s="24">
        <v>0</v>
      </c>
      <c r="H6" s="24" t="s">
        <v>23</v>
      </c>
      <c r="I6" s="1">
        <f t="shared" si="2"/>
        <v>0</v>
      </c>
      <c r="J6" s="3">
        <v>0</v>
      </c>
      <c r="K6" s="3">
        <v>0</v>
      </c>
      <c r="L6" s="4">
        <v>0</v>
      </c>
      <c r="M6" s="24" t="s">
        <v>27</v>
      </c>
      <c r="N6" s="24" t="s">
        <v>28</v>
      </c>
      <c r="O6" s="23"/>
      <c r="P6" s="22">
        <f t="shared" si="0"/>
        <v>0</v>
      </c>
      <c r="Q6" s="8">
        <f>IF(C6="EQ",E6,IF(C6="FUT",GetFutureTradeSymbol(D6, E6, P6),GetOptionTradeSymbol(D6, E6, P6, G6, H6)))</f>
        <v>0</v>
      </c>
      <c r="R6" s="8" t="b">
        <f t="shared" si="1"/>
        <v>0</v>
      </c>
      <c r="S6" s="8">
        <f t="shared" si="3"/>
        <v>0</v>
      </c>
    </row>
    <row r="7" spans="1:30" ht="15" customHeight="1">
      <c r="A7" s="13" t="s">
        <v>9</v>
      </c>
      <c r="B7" s="14" t="s">
        <v>19</v>
      </c>
      <c r="C7" s="24" t="s">
        <v>22</v>
      </c>
      <c r="D7" s="24" t="s">
        <v>29</v>
      </c>
      <c r="E7" s="25"/>
      <c r="F7" s="24">
        <v>1</v>
      </c>
      <c r="G7" s="24">
        <v>0</v>
      </c>
      <c r="H7" s="24" t="s">
        <v>23</v>
      </c>
      <c r="I7" s="1">
        <f t="shared" si="2"/>
        <v>0</v>
      </c>
      <c r="J7" s="3">
        <v>0</v>
      </c>
      <c r="K7" s="3">
        <v>0</v>
      </c>
      <c r="L7" s="4">
        <v>0</v>
      </c>
      <c r="M7" s="24" t="s">
        <v>27</v>
      </c>
      <c r="N7" s="24" t="s">
        <v>28</v>
      </c>
      <c r="O7" s="23"/>
      <c r="P7" s="22">
        <f t="shared" si="0"/>
        <v>0</v>
      </c>
      <c r="Q7" s="8">
        <f>IF(C7="EQ",E7,IF(C7="FUT",GetFutureTradeSymbol(D7, E7, P7),GetOptionTradeSymbol(D7, E7, P7, G7, H7)))</f>
        <v>0</v>
      </c>
      <c r="R7" s="8" t="b">
        <f t="shared" si="1"/>
        <v>0</v>
      </c>
      <c r="S7" s="8">
        <f t="shared" si="3"/>
        <v>0</v>
      </c>
    </row>
    <row r="8" spans="1:30" ht="15" customHeight="1">
      <c r="A8" s="13" t="s">
        <v>9</v>
      </c>
      <c r="B8" s="14" t="s">
        <v>19</v>
      </c>
      <c r="C8" s="24" t="s">
        <v>22</v>
      </c>
      <c r="D8" s="24" t="s">
        <v>29</v>
      </c>
      <c r="E8" s="25"/>
      <c r="F8" s="24">
        <v>1</v>
      </c>
      <c r="G8" s="24">
        <v>0</v>
      </c>
      <c r="H8" s="24" t="s">
        <v>23</v>
      </c>
      <c r="I8" s="1">
        <f t="shared" si="2"/>
        <v>0</v>
      </c>
      <c r="J8" s="3">
        <v>0</v>
      </c>
      <c r="K8" s="3">
        <v>0</v>
      </c>
      <c r="L8" s="4">
        <v>0</v>
      </c>
      <c r="M8" s="24" t="s">
        <v>27</v>
      </c>
      <c r="N8" s="24" t="s">
        <v>28</v>
      </c>
      <c r="O8" s="23"/>
      <c r="P8" s="22">
        <f t="shared" si="0"/>
        <v>0</v>
      </c>
      <c r="Q8" s="8">
        <f>IF(C8="EQ",E8,IF(C8="FUT",GetFutureTradeSymbol(D8, E8, P8),GetOptionTradeSymbol(D8, E8, P8, G8, H8)))</f>
        <v>0</v>
      </c>
      <c r="R8" s="8" t="b">
        <f t="shared" si="1"/>
        <v>0</v>
      </c>
      <c r="S8" s="8">
        <f t="shared" si="3"/>
        <v>0</v>
      </c>
    </row>
    <row r="9" spans="1:30" ht="15" customHeight="1">
      <c r="A9" s="13" t="s">
        <v>9</v>
      </c>
      <c r="B9" s="14" t="s">
        <v>19</v>
      </c>
      <c r="C9" s="24" t="s">
        <v>22</v>
      </c>
      <c r="D9" s="24" t="s">
        <v>29</v>
      </c>
      <c r="E9" s="25"/>
      <c r="F9" s="24">
        <v>1</v>
      </c>
      <c r="G9" s="24">
        <v>0</v>
      </c>
      <c r="H9" s="24" t="s">
        <v>23</v>
      </c>
      <c r="I9" s="1">
        <f t="shared" si="2"/>
        <v>0</v>
      </c>
      <c r="J9" s="3">
        <v>0</v>
      </c>
      <c r="K9" s="3">
        <v>0</v>
      </c>
      <c r="L9" s="4">
        <v>0</v>
      </c>
      <c r="M9" s="24" t="s">
        <v>27</v>
      </c>
      <c r="N9" s="24" t="s">
        <v>28</v>
      </c>
      <c r="O9" s="23"/>
      <c r="P9" s="22">
        <f t="shared" si="0"/>
        <v>0</v>
      </c>
      <c r="Q9" s="8">
        <f>IF(C9="EQ",E9,IF(C9="FUT",GetFutureTradeSymbol(D9, E9, P9),GetOptionTradeSymbol(D9, E9, P9, G9, H9)))</f>
        <v>0</v>
      </c>
      <c r="R9" s="8" t="b">
        <f t="shared" si="1"/>
        <v>0</v>
      </c>
      <c r="S9" s="8">
        <f t="shared" si="3"/>
        <v>0</v>
      </c>
    </row>
    <row r="10" spans="1:30" ht="15" customHeight="1">
      <c r="A10" s="13" t="s">
        <v>9</v>
      </c>
      <c r="B10" s="14" t="s">
        <v>19</v>
      </c>
      <c r="C10" s="24" t="s">
        <v>22</v>
      </c>
      <c r="D10" s="24" t="s">
        <v>29</v>
      </c>
      <c r="E10" s="25"/>
      <c r="F10" s="24">
        <v>1</v>
      </c>
      <c r="G10" s="24">
        <v>0</v>
      </c>
      <c r="H10" s="24" t="s">
        <v>23</v>
      </c>
      <c r="I10" s="1">
        <f t="shared" si="2"/>
        <v>0</v>
      </c>
      <c r="J10" s="3">
        <v>0</v>
      </c>
      <c r="K10" s="3">
        <v>0</v>
      </c>
      <c r="L10" s="4">
        <v>0</v>
      </c>
      <c r="M10" s="24" t="s">
        <v>27</v>
      </c>
      <c r="N10" s="24" t="s">
        <v>28</v>
      </c>
      <c r="O10" s="23"/>
      <c r="P10" s="22">
        <f t="shared" si="0"/>
        <v>0</v>
      </c>
      <c r="Q10" s="8">
        <f>IF(C10="EQ",E10,IF(C10="FUT",GetFutureTradeSymbol(D10, E10, P10),GetOptionTradeSymbol(D10, E10, P10, G10, H10)))</f>
        <v>0</v>
      </c>
      <c r="R10" s="8" t="b">
        <f t="shared" si="1"/>
        <v>0</v>
      </c>
      <c r="S10" s="8">
        <f t="shared" si="3"/>
        <v>0</v>
      </c>
    </row>
    <row r="11" spans="1:30" ht="15" customHeight="1">
      <c r="A11" s="13" t="s">
        <v>9</v>
      </c>
      <c r="B11" s="14" t="s">
        <v>19</v>
      </c>
      <c r="C11" s="24" t="s">
        <v>22</v>
      </c>
      <c r="D11" s="24" t="s">
        <v>29</v>
      </c>
      <c r="E11" s="25"/>
      <c r="F11" s="24">
        <v>1</v>
      </c>
      <c r="G11" s="24">
        <v>0</v>
      </c>
      <c r="H11" s="24" t="s">
        <v>23</v>
      </c>
      <c r="I11" s="1">
        <f t="shared" si="2"/>
        <v>0</v>
      </c>
      <c r="J11" s="3">
        <v>0</v>
      </c>
      <c r="K11" s="3">
        <v>0</v>
      </c>
      <c r="L11" s="4">
        <v>0</v>
      </c>
      <c r="M11" s="24" t="s">
        <v>27</v>
      </c>
      <c r="N11" s="24" t="s">
        <v>28</v>
      </c>
      <c r="O11" s="23"/>
      <c r="P11" s="22">
        <f t="shared" si="0"/>
        <v>0</v>
      </c>
      <c r="Q11" s="8">
        <f>IF(C11="EQ",E11,IF(C11="FUT",GetFutureTradeSymbol(D11, E11, P11),GetOptionTradeSymbol(D11, E11, P11, G11, H11)))</f>
        <v>0</v>
      </c>
      <c r="R11" s="8" t="b">
        <f t="shared" si="1"/>
        <v>0</v>
      </c>
      <c r="S11" s="8">
        <f t="shared" si="3"/>
        <v>0</v>
      </c>
    </row>
    <row r="12" spans="1:30" ht="15" customHeight="1">
      <c r="A12" s="13" t="s">
        <v>9</v>
      </c>
      <c r="B12" s="14" t="s">
        <v>19</v>
      </c>
      <c r="C12" s="24" t="s">
        <v>22</v>
      </c>
      <c r="D12" s="24" t="s">
        <v>29</v>
      </c>
      <c r="E12" s="25"/>
      <c r="F12" s="24">
        <v>1</v>
      </c>
      <c r="G12" s="24">
        <v>0</v>
      </c>
      <c r="H12" s="24" t="s">
        <v>23</v>
      </c>
      <c r="I12" s="1">
        <f t="shared" si="2"/>
        <v>0</v>
      </c>
      <c r="J12" s="3">
        <v>0</v>
      </c>
      <c r="K12" s="3">
        <v>0</v>
      </c>
      <c r="L12" s="4">
        <v>0</v>
      </c>
      <c r="M12" s="24" t="s">
        <v>27</v>
      </c>
      <c r="N12" s="24" t="s">
        <v>28</v>
      </c>
      <c r="O12" s="23"/>
      <c r="P12" s="22">
        <f t="shared" si="0"/>
        <v>0</v>
      </c>
      <c r="Q12" s="8">
        <f>IF(C12="EQ",E12,IF(C12="FUT",GetFutureTradeSymbol(D12, E12, P12),GetOptionTradeSymbol(D12, E12, P12, G12, H12)))</f>
        <v>0</v>
      </c>
      <c r="R12" s="8" t="b">
        <f t="shared" si="1"/>
        <v>0</v>
      </c>
      <c r="S12" s="8">
        <f t="shared" si="3"/>
        <v>0</v>
      </c>
    </row>
    <row r="13" spans="1:30" ht="15" customHeight="1">
      <c r="A13" s="13" t="s">
        <v>9</v>
      </c>
      <c r="B13" s="14" t="s">
        <v>19</v>
      </c>
      <c r="C13" s="24" t="s">
        <v>22</v>
      </c>
      <c r="D13" s="24" t="s">
        <v>29</v>
      </c>
      <c r="E13" s="25"/>
      <c r="F13" s="24">
        <v>1</v>
      </c>
      <c r="G13" s="24">
        <v>0</v>
      </c>
      <c r="H13" s="24" t="s">
        <v>23</v>
      </c>
      <c r="I13" s="1">
        <f t="shared" si="2"/>
        <v>0</v>
      </c>
      <c r="J13" s="3">
        <v>0</v>
      </c>
      <c r="K13" s="3">
        <v>0</v>
      </c>
      <c r="L13" s="4">
        <v>0</v>
      </c>
      <c r="M13" s="24" t="s">
        <v>27</v>
      </c>
      <c r="N13" s="24" t="s">
        <v>28</v>
      </c>
      <c r="O13" s="23"/>
      <c r="P13" s="22">
        <f t="shared" si="0"/>
        <v>0</v>
      </c>
      <c r="Q13" s="8">
        <f>IF(C13="EQ",E13,IF(C13="FUT",GetFutureTradeSymbol(D13, E13, P13),GetOptionTradeSymbol(D13, E13, P13, G13, H13)))</f>
        <v>0</v>
      </c>
      <c r="R13" s="8" t="b">
        <f t="shared" si="1"/>
        <v>0</v>
      </c>
      <c r="S13" s="8">
        <f t="shared" si="3"/>
        <v>0</v>
      </c>
    </row>
    <row r="14" spans="1:30" ht="15" customHeight="1">
      <c r="A14" s="13" t="s">
        <v>9</v>
      </c>
      <c r="B14" s="14" t="s">
        <v>19</v>
      </c>
      <c r="C14" s="24" t="s">
        <v>22</v>
      </c>
      <c r="D14" s="24" t="s">
        <v>29</v>
      </c>
      <c r="E14" s="25"/>
      <c r="F14" s="24">
        <v>1</v>
      </c>
      <c r="G14" s="24">
        <v>0</v>
      </c>
      <c r="H14" s="24" t="s">
        <v>23</v>
      </c>
      <c r="I14" s="1">
        <f t="shared" si="2"/>
        <v>0</v>
      </c>
      <c r="J14" s="3">
        <v>0</v>
      </c>
      <c r="K14" s="3">
        <v>0</v>
      </c>
      <c r="L14" s="4">
        <v>0</v>
      </c>
      <c r="M14" s="24" t="s">
        <v>27</v>
      </c>
      <c r="N14" s="24" t="s">
        <v>28</v>
      </c>
      <c r="O14" s="23"/>
      <c r="P14" s="22">
        <f t="shared" si="0"/>
        <v>0</v>
      </c>
      <c r="Q14" s="8">
        <f>IF(C14="EQ",E14,IF(C14="FUT",GetFutureTradeSymbol(D14, E14, P14),GetOptionTradeSymbol(D14, E14, P14, G14, H14)))</f>
        <v>0</v>
      </c>
      <c r="R14" s="8" t="b">
        <f t="shared" si="1"/>
        <v>0</v>
      </c>
      <c r="S14" s="8">
        <f t="shared" si="3"/>
        <v>0</v>
      </c>
    </row>
    <row r="15" spans="1:30" ht="15" customHeight="1">
      <c r="A15" s="13" t="s">
        <v>9</v>
      </c>
      <c r="B15" s="14" t="s">
        <v>19</v>
      </c>
      <c r="C15" s="24" t="s">
        <v>22</v>
      </c>
      <c r="D15" s="24" t="s">
        <v>29</v>
      </c>
      <c r="E15" s="25"/>
      <c r="F15" s="24">
        <v>1</v>
      </c>
      <c r="G15" s="24">
        <v>0</v>
      </c>
      <c r="H15" s="24" t="s">
        <v>23</v>
      </c>
      <c r="I15" s="1">
        <f t="shared" si="2"/>
        <v>0</v>
      </c>
      <c r="J15" s="3">
        <v>0</v>
      </c>
      <c r="K15" s="3">
        <v>0</v>
      </c>
      <c r="L15" s="4">
        <v>0</v>
      </c>
      <c r="M15" s="24" t="s">
        <v>27</v>
      </c>
      <c r="N15" s="24" t="s">
        <v>28</v>
      </c>
      <c r="O15" s="23"/>
      <c r="P15" s="22">
        <f t="shared" si="0"/>
        <v>0</v>
      </c>
      <c r="Q15" s="8">
        <f>IF(C15="EQ",E15,IF(C15="FUT",GetFutureTradeSymbol(D15, E15, P15),GetOptionTradeSymbol(D15, E15, P15, G15, H15)))</f>
        <v>0</v>
      </c>
      <c r="R15" s="8" t="b">
        <f t="shared" si="1"/>
        <v>0</v>
      </c>
      <c r="S15" s="8">
        <f t="shared" si="3"/>
        <v>0</v>
      </c>
    </row>
    <row r="16" spans="1:30" ht="15" customHeight="1">
      <c r="A16" s="13" t="s">
        <v>9</v>
      </c>
      <c r="B16" s="14" t="s">
        <v>19</v>
      </c>
      <c r="C16" s="24" t="s">
        <v>22</v>
      </c>
      <c r="D16" s="24" t="s">
        <v>29</v>
      </c>
      <c r="E16" s="25"/>
      <c r="F16" s="24">
        <v>1</v>
      </c>
      <c r="G16" s="24">
        <v>0</v>
      </c>
      <c r="H16" s="24" t="s">
        <v>23</v>
      </c>
      <c r="I16" s="1">
        <f t="shared" si="2"/>
        <v>0</v>
      </c>
      <c r="J16" s="3">
        <v>0</v>
      </c>
      <c r="K16" s="3">
        <v>0</v>
      </c>
      <c r="L16" s="4">
        <v>0</v>
      </c>
      <c r="M16" s="24" t="s">
        <v>27</v>
      </c>
      <c r="N16" s="24" t="s">
        <v>28</v>
      </c>
      <c r="O16" s="23"/>
      <c r="P16" s="22">
        <f t="shared" si="0"/>
        <v>0</v>
      </c>
      <c r="Q16" s="8">
        <f>IF(C16="EQ",E16,IF(C16="FUT",GetFutureTradeSymbol(D16, E16, P16),GetOptionTradeSymbol(D16, E16, P16, G16, H16)))</f>
        <v>0</v>
      </c>
      <c r="R16" s="8" t="b">
        <f t="shared" si="1"/>
        <v>0</v>
      </c>
      <c r="S16" s="8">
        <f t="shared" si="3"/>
        <v>0</v>
      </c>
    </row>
    <row r="18" spans="1:30" ht="15" customHeight="1">
      <c r="A18" s="10"/>
      <c r="B18" s="10"/>
      <c r="C18" s="10"/>
      <c r="D18" s="10"/>
      <c r="E18" s="12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</row>
    <row r="19" spans="1:30" ht="1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</row>
    <row r="20" spans="1:30" ht="1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</row>
    <row r="21" spans="1:30" ht="15" customHeight="1">
      <c r="A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</row>
    <row r="22" spans="1:30" ht="15" customHeight="1">
      <c r="A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</row>
    <row r="23" spans="1:30" ht="15" customHeight="1">
      <c r="A23" s="11" t="s">
        <v>20</v>
      </c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</row>
    <row r="24" spans="1:30" ht="15" customHeight="1">
      <c r="A24" s="11" t="s">
        <v>8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</row>
    <row r="25" spans="1:30" ht="15" customHeight="1">
      <c r="A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</row>
    <row r="26" spans="1:30" ht="15" customHeight="1">
      <c r="A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</row>
    <row r="27" spans="1:30" ht="15" customHeight="1">
      <c r="A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</row>
    <row r="28" spans="1:30" ht="1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</row>
    <row r="29" spans="1:30" ht="1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</row>
    <row r="30" spans="1:30" ht="1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</row>
    <row r="31" spans="1:30" ht="1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</row>
    <row r="32" spans="1:30" ht="1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</row>
    <row r="33" spans="1:30" ht="1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</row>
    <row r="34" spans="1:30" ht="1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</row>
    <row r="35" spans="1:30" ht="1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</row>
    <row r="36" spans="1:30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</row>
    <row r="37" spans="1:30" ht="1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</row>
    <row r="38" spans="1:30" ht="1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</row>
    <row r="39" spans="1:30" ht="15" customHeight="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</row>
    <row r="40" spans="1:30" ht="15" customHeight="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</row>
    <row r="41" spans="1:30" ht="15" customHeight="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</row>
    <row r="42" spans="1:30" ht="15" customHeight="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</row>
    <row r="43" spans="1:30" ht="15" customHeight="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</row>
    <row r="44" spans="1:30" ht="15" customHeight="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</row>
    <row r="45" spans="1:30" ht="15" customHeight="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</row>
    <row r="46" spans="1:30" ht="15" customHeight="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</row>
    <row r="47" spans="1:30" ht="15" customHeight="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</row>
    <row r="48" spans="1:30" ht="15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</row>
  </sheetData>
  <sheetProtection sheet="1" objects="1" scenarios="1"/>
  <conditionalFormatting sqref="R2:S16">
    <cfRule type="containsText" dxfId="4" priority="9" operator="containsText" text="SELL">
      <formula>NOT(ISERROR(SEARCH("SELL",R2)))</formula>
    </cfRule>
    <cfRule type="containsText" dxfId="3" priority="10" operator="containsText" text="BUY">
      <formula>NOT(ISERROR(SEARCH("BUY",R2)))</formula>
    </cfRule>
  </conditionalFormatting>
  <conditionalFormatting sqref="A1:BD1">
    <cfRule type="duplicateValues" dxfId="2" priority="25"/>
  </conditionalFormatting>
  <conditionalFormatting sqref="I2:I16">
    <cfRule type="expression" dxfId="1" priority="2">
      <formula>S2=1</formula>
    </cfRule>
    <cfRule type="expression" dxfId="0" priority="1">
      <formula>S2=-1</formula>
    </cfRule>
  </conditionalFormatting>
  <dataValidations count="8">
    <dataValidation type="whole" allowBlank="1" showInputMessage="1" showErrorMessage="1" sqref="L2:L16">
      <formula1>0</formula1>
      <formula2>500000</formula2>
    </dataValidation>
    <dataValidation type="list" allowBlank="1" showInputMessage="1" showErrorMessage="1" sqref="C2:C16">
      <formula1>"EQ,FUT,OPT"</formula1>
    </dataValidation>
    <dataValidation type="list" allowBlank="1" showInputMessage="1" showErrorMessage="1" sqref="D2:D16">
      <formula1>"NSE,NFO,CDS,BSE"</formula1>
    </dataValidation>
    <dataValidation type="list" allowBlank="1" showInputMessage="1" showErrorMessage="1" sqref="F2:F16">
      <formula1>"1,2,3,4,5,6,7"</formula1>
    </dataValidation>
    <dataValidation type="decimal" allowBlank="1" showInputMessage="1" showErrorMessage="1" sqref="G2:G16 J2:K16">
      <formula1>0</formula1>
      <formula2>500000</formula2>
    </dataValidation>
    <dataValidation type="list" allowBlank="1" showInputMessage="1" showErrorMessage="1" sqref="H2:H16">
      <formula1>"CE,PE"</formula1>
    </dataValidation>
    <dataValidation type="list" allowBlank="1" showInputMessage="1" showErrorMessage="1" sqref="M2:M16">
      <formula1>"LIMIT,MARKET,SL,SL-M"</formula1>
    </dataValidation>
    <dataValidation type="list" allowBlank="1" showInputMessage="1" showErrorMessage="1" sqref="N2:N16">
      <formula1>"MIS,NRML"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STATUS</vt:lpstr>
      <vt:lpstr>BUTTON_TRADING</vt:lpstr>
      <vt:lpstr>PING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EC2</cp:lastModifiedBy>
  <dcterms:created xsi:type="dcterms:W3CDTF">2006-09-16T00:00:00Z</dcterms:created>
  <dcterms:modified xsi:type="dcterms:W3CDTF">2022-06-16T06:38:27Z</dcterms:modified>
</cp:coreProperties>
</file>