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05" windowWidth="14805" windowHeight="8010" tabRatio="747" activeTab="1"/>
  </bookViews>
  <sheets>
    <sheet name="STATUS" sheetId="37" r:id="rId1"/>
    <sheet name="MARKET_WATCH" sheetId="35" r:id="rId2"/>
  </sheets>
  <functionGroups/>
  <definedNames>
    <definedName name="PING">STATUS!$C$4</definedName>
  </definedNames>
  <calcPr calcId="125725" calcOnSave="0"/>
</workbook>
</file>

<file path=xl/calcChain.xml><?xml version="1.0" encoding="utf-8"?>
<calcChain xmlns="http://schemas.openxmlformats.org/spreadsheetml/2006/main">
  <c r="AH3" i="35"/>
  <c r="AH4"/>
  <c r="AH5"/>
  <c r="AH6"/>
  <c r="AH7"/>
  <c r="AH8"/>
  <c r="AH9"/>
  <c r="AH10"/>
  <c r="AH11"/>
  <c r="AH12"/>
  <c r="AH13"/>
  <c r="AH14"/>
  <c r="AH15"/>
  <c r="AH16"/>
  <c r="AH2"/>
  <c r="AE4"/>
  <c r="W4"/>
  <c r="O4"/>
  <c r="G4"/>
  <c r="Y3"/>
  <c r="Q3"/>
  <c r="I3"/>
  <c r="AA5"/>
  <c r="S5"/>
  <c r="K5"/>
  <c r="AC7"/>
  <c r="U7"/>
  <c r="M7"/>
  <c r="AE9"/>
  <c r="W9"/>
  <c r="O9"/>
  <c r="G9"/>
  <c r="Y11"/>
  <c r="Q11"/>
  <c r="I11"/>
  <c r="AA13"/>
  <c r="S13"/>
  <c r="K13"/>
  <c r="AC15"/>
  <c r="U15"/>
  <c r="M15"/>
  <c r="H2"/>
  <c r="P2"/>
  <c r="X2"/>
  <c r="AF2"/>
  <c r="Y6"/>
  <c r="Q6"/>
  <c r="I6"/>
  <c r="AA8"/>
  <c r="S8"/>
  <c r="K8"/>
  <c r="AC10"/>
  <c r="U10"/>
  <c r="M10"/>
  <c r="AE12"/>
  <c r="W12"/>
  <c r="O12"/>
  <c r="G12"/>
  <c r="Y14"/>
  <c r="Q14"/>
  <c r="I14"/>
  <c r="AA16"/>
  <c r="S16"/>
  <c r="K16"/>
  <c r="AG16"/>
  <c r="AI10"/>
  <c r="AI15"/>
  <c r="AF4"/>
  <c r="X4"/>
  <c r="P4"/>
  <c r="H4"/>
  <c r="Z3"/>
  <c r="R3"/>
  <c r="J3"/>
  <c r="AB5"/>
  <c r="T5"/>
  <c r="L5"/>
  <c r="AD7"/>
  <c r="V7"/>
  <c r="N7"/>
  <c r="AF9"/>
  <c r="X9"/>
  <c r="P9"/>
  <c r="H9"/>
  <c r="Z11"/>
  <c r="R11"/>
  <c r="J11"/>
  <c r="AB13"/>
  <c r="T13"/>
  <c r="L13"/>
  <c r="AD15"/>
  <c r="V15"/>
  <c r="N15"/>
  <c r="G2"/>
  <c r="O2"/>
  <c r="W2"/>
  <c r="AE2"/>
  <c r="Z6"/>
  <c r="R6"/>
  <c r="J6"/>
  <c r="AB8"/>
  <c r="T8"/>
  <c r="L8"/>
  <c r="AD10"/>
  <c r="V10"/>
  <c r="N10"/>
  <c r="AF12"/>
  <c r="X12"/>
  <c r="P12"/>
  <c r="H12"/>
  <c r="Z14"/>
  <c r="R14"/>
  <c r="J14"/>
  <c r="AB16"/>
  <c r="T16"/>
  <c r="L16"/>
  <c r="AG12"/>
  <c r="AI6"/>
  <c r="AI11"/>
  <c r="AG3"/>
  <c r="AG15"/>
  <c r="AI5"/>
  <c r="C5" i="37"/>
  <c r="AI7" i="35"/>
  <c r="AJ9"/>
  <c r="AD4"/>
  <c r="V4"/>
  <c r="N4"/>
  <c r="AF3"/>
  <c r="X3"/>
  <c r="P3"/>
  <c r="H3"/>
  <c r="Z5"/>
  <c r="R5"/>
  <c r="J5"/>
  <c r="AB7"/>
  <c r="T7"/>
  <c r="L7"/>
  <c r="AC4"/>
  <c r="U4"/>
  <c r="M4"/>
  <c r="AE3"/>
  <c r="W3"/>
  <c r="O3"/>
  <c r="G3"/>
  <c r="Y5"/>
  <c r="Q5"/>
  <c r="I5"/>
  <c r="AA7"/>
  <c r="S7"/>
  <c r="K7"/>
  <c r="AC9"/>
  <c r="U9"/>
  <c r="M9"/>
  <c r="AE11"/>
  <c r="W11"/>
  <c r="O11"/>
  <c r="G11"/>
  <c r="Y13"/>
  <c r="Q13"/>
  <c r="I13"/>
  <c r="AA15"/>
  <c r="S15"/>
  <c r="K15"/>
  <c r="J2"/>
  <c r="R2"/>
  <c r="Z2"/>
  <c r="AE6"/>
  <c r="W6"/>
  <c r="O6"/>
  <c r="G6"/>
  <c r="Y8"/>
  <c r="Q8"/>
  <c r="I8"/>
  <c r="AA10"/>
  <c r="S10"/>
  <c r="K10"/>
  <c r="AC12"/>
  <c r="U12"/>
  <c r="M12"/>
  <c r="AE14"/>
  <c r="W14"/>
  <c r="O14"/>
  <c r="G14"/>
  <c r="Y16"/>
  <c r="Q16"/>
  <c r="I16"/>
  <c r="Z9"/>
  <c r="J9"/>
  <c r="T11"/>
  <c r="AD13"/>
  <c r="N13"/>
  <c r="X15"/>
  <c r="H15"/>
  <c r="U2"/>
  <c r="AB6"/>
  <c r="L6"/>
  <c r="V8"/>
  <c r="AF10"/>
  <c r="P10"/>
  <c r="Z12"/>
  <c r="J12"/>
  <c r="T14"/>
  <c r="AD16"/>
  <c r="N16"/>
  <c r="C6" i="37"/>
  <c r="AI3" i="35"/>
  <c r="AD9"/>
  <c r="N9"/>
  <c r="X11"/>
  <c r="H11"/>
  <c r="R13"/>
  <c r="AB15"/>
  <c r="L15"/>
  <c r="Q2"/>
  <c r="AF6"/>
  <c r="P6"/>
  <c r="Z8"/>
  <c r="J8"/>
  <c r="T10"/>
  <c r="AD12"/>
  <c r="N12"/>
  <c r="X14"/>
  <c r="H14"/>
  <c r="R16"/>
  <c r="AI2"/>
  <c r="AG6"/>
  <c r="AG11"/>
  <c r="Y2"/>
  <c r="H6"/>
  <c r="AB10"/>
  <c r="V12"/>
  <c r="P14"/>
  <c r="J16"/>
  <c r="AA4"/>
  <c r="S4"/>
  <c r="K4"/>
  <c r="AC3"/>
  <c r="U3"/>
  <c r="M3"/>
  <c r="AE5"/>
  <c r="W5"/>
  <c r="O5"/>
  <c r="G5"/>
  <c r="AJ5" s="1"/>
  <c r="Y7"/>
  <c r="Q7"/>
  <c r="I7"/>
  <c r="AA9"/>
  <c r="S9"/>
  <c r="K9"/>
  <c r="AC11"/>
  <c r="U11"/>
  <c r="M11"/>
  <c r="AE13"/>
  <c r="W13"/>
  <c r="O13"/>
  <c r="G13"/>
  <c r="AJ13" s="1"/>
  <c r="Y15"/>
  <c r="Q15"/>
  <c r="I15"/>
  <c r="L2"/>
  <c r="T2"/>
  <c r="AB2"/>
  <c r="AC6"/>
  <c r="U6"/>
  <c r="M6"/>
  <c r="AE8"/>
  <c r="W8"/>
  <c r="O8"/>
  <c r="G8"/>
  <c r="AJ8" s="1"/>
  <c r="Y10"/>
  <c r="Q10"/>
  <c r="I10"/>
  <c r="AA12"/>
  <c r="S12"/>
  <c r="K12"/>
  <c r="AC14"/>
  <c r="U14"/>
  <c r="M14"/>
  <c r="AE16"/>
  <c r="W16"/>
  <c r="O16"/>
  <c r="G16"/>
  <c r="AJ16" s="1"/>
  <c r="AI13"/>
  <c r="AG9"/>
  <c r="C7" i="37"/>
  <c r="AI8" i="35"/>
  <c r="AB4"/>
  <c r="T4"/>
  <c r="L4"/>
  <c r="AD3"/>
  <c r="V3"/>
  <c r="N3"/>
  <c r="AF5"/>
  <c r="X5"/>
  <c r="P5"/>
  <c r="H5"/>
  <c r="Z7"/>
  <c r="R7"/>
  <c r="J7"/>
  <c r="AB9"/>
  <c r="T9"/>
  <c r="L9"/>
  <c r="AD11"/>
  <c r="V11"/>
  <c r="N11"/>
  <c r="AF13"/>
  <c r="X13"/>
  <c r="P13"/>
  <c r="H13"/>
  <c r="Z15"/>
  <c r="R15"/>
  <c r="J15"/>
  <c r="K2"/>
  <c r="S2"/>
  <c r="AA2"/>
  <c r="AD6"/>
  <c r="V6"/>
  <c r="N6"/>
  <c r="AF8"/>
  <c r="X8"/>
  <c r="P8"/>
  <c r="H8"/>
  <c r="Z10"/>
  <c r="R10"/>
  <c r="J10"/>
  <c r="AB12"/>
  <c r="T12"/>
  <c r="L12"/>
  <c r="AD14"/>
  <c r="V14"/>
  <c r="N14"/>
  <c r="AF16"/>
  <c r="X16"/>
  <c r="P16"/>
  <c r="H16"/>
  <c r="AI9"/>
  <c r="AG5"/>
  <c r="AG14"/>
  <c r="AI4"/>
  <c r="AJ12"/>
  <c r="AJ4"/>
  <c r="AG2"/>
  <c r="AG10"/>
  <c r="AG7"/>
  <c r="C4" i="37"/>
  <c r="Z4" i="35"/>
  <c r="R4"/>
  <c r="J4"/>
  <c r="AB3"/>
  <c r="T3"/>
  <c r="L3"/>
  <c r="AD5"/>
  <c r="V5"/>
  <c r="N5"/>
  <c r="AF7"/>
  <c r="X7"/>
  <c r="P7"/>
  <c r="H7"/>
  <c r="Y4"/>
  <c r="Q4"/>
  <c r="I4"/>
  <c r="AA3"/>
  <c r="S3"/>
  <c r="K3"/>
  <c r="AC5"/>
  <c r="U5"/>
  <c r="M5"/>
  <c r="AE7"/>
  <c r="W7"/>
  <c r="O7"/>
  <c r="G7"/>
  <c r="AJ7" s="1"/>
  <c r="Y9"/>
  <c r="Q9"/>
  <c r="I9"/>
  <c r="AA11"/>
  <c r="S11"/>
  <c r="K11"/>
  <c r="AC13"/>
  <c r="U13"/>
  <c r="M13"/>
  <c r="AE15"/>
  <c r="W15"/>
  <c r="O15"/>
  <c r="G15"/>
  <c r="N2"/>
  <c r="V2"/>
  <c r="AD2"/>
  <c r="AA6"/>
  <c r="S6"/>
  <c r="K6"/>
  <c r="AC8"/>
  <c r="U8"/>
  <c r="M8"/>
  <c r="AE10"/>
  <c r="W10"/>
  <c r="O10"/>
  <c r="G10"/>
  <c r="Y12"/>
  <c r="Q12"/>
  <c r="I12"/>
  <c r="AA14"/>
  <c r="S14"/>
  <c r="K14"/>
  <c r="AC16"/>
  <c r="U16"/>
  <c r="M16"/>
  <c r="AG8"/>
  <c r="R9"/>
  <c r="AB11"/>
  <c r="L11"/>
  <c r="V13"/>
  <c r="AF15"/>
  <c r="P15"/>
  <c r="M2"/>
  <c r="AC2"/>
  <c r="T6"/>
  <c r="AD8"/>
  <c r="N8"/>
  <c r="X10"/>
  <c r="H10"/>
  <c r="R12"/>
  <c r="AB14"/>
  <c r="L14"/>
  <c r="V16"/>
  <c r="AG4"/>
  <c r="AG13"/>
  <c r="AI12"/>
  <c r="AI16"/>
  <c r="V9"/>
  <c r="AF11"/>
  <c r="P11"/>
  <c r="Z13"/>
  <c r="J13"/>
  <c r="T15"/>
  <c r="I2"/>
  <c r="X6"/>
  <c r="R8"/>
  <c r="L10"/>
  <c r="AF14"/>
  <c r="Z16"/>
  <c r="AI14"/>
  <c r="AJ2"/>
  <c r="AJ15"/>
  <c r="AJ6"/>
  <c r="AJ3"/>
  <c r="AJ10"/>
  <c r="AJ11"/>
  <c r="AJ14"/>
</calcChain>
</file>

<file path=xl/sharedStrings.xml><?xml version="1.0" encoding="utf-8"?>
<sst xmlns="http://schemas.openxmlformats.org/spreadsheetml/2006/main" count="85" uniqueCount="43">
  <si>
    <t>LTP</t>
  </si>
  <si>
    <t>SYMBOL</t>
  </si>
  <si>
    <t>EXPIRY</t>
  </si>
  <si>
    <t>TRDSYM</t>
  </si>
  <si>
    <t>STRIKE</t>
  </si>
  <si>
    <t>PING</t>
  </si>
  <si>
    <t>EXPNUM</t>
  </si>
  <si>
    <t>SUB</t>
  </si>
  <si>
    <t>SEGMENT</t>
  </si>
  <si>
    <t>EXCH</t>
  </si>
  <si>
    <t>OPT</t>
  </si>
  <si>
    <t>SIDE</t>
  </si>
  <si>
    <t>EQ</t>
  </si>
  <si>
    <t>CE</t>
  </si>
  <si>
    <t>NAME</t>
  </si>
  <si>
    <t>STATUS</t>
  </si>
  <si>
    <t>ID</t>
  </si>
  <si>
    <t>NSE</t>
  </si>
  <si>
    <t>LTQ</t>
  </si>
  <si>
    <t>CHG</t>
  </si>
  <si>
    <t>CHG%</t>
  </si>
  <si>
    <t>BID</t>
  </si>
  <si>
    <t>BIDQTY</t>
  </si>
  <si>
    <t>ASK</t>
  </si>
  <si>
    <t>ASKQTY</t>
  </si>
  <si>
    <t>ATP</t>
  </si>
  <si>
    <t>OPEN</t>
  </si>
  <si>
    <t>VOL</t>
  </si>
  <si>
    <t>TBQ</t>
  </si>
  <si>
    <t>TSQ</t>
  </si>
  <si>
    <t>HIGH</t>
  </si>
  <si>
    <t>LOW</t>
  </si>
  <si>
    <t>CLOSE</t>
  </si>
  <si>
    <t>LTT</t>
  </si>
  <si>
    <t>MTM</t>
  </si>
  <si>
    <t>NETQTY</t>
  </si>
  <si>
    <t>OI</t>
  </si>
  <si>
    <t>ABP</t>
  </si>
  <si>
    <t>ASP</t>
  </si>
  <si>
    <t>ABQ</t>
  </si>
  <si>
    <t>ASQ</t>
  </si>
  <si>
    <t>UC</t>
  </si>
  <si>
    <t>LC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</si>
</sst>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 tint="0.249977111117893"/>
      <name val="Cambria"/>
      <family val="1"/>
      <scheme val="major"/>
    </font>
    <font>
      <sz val="9"/>
      <color theme="1" tint="0.249977111117893"/>
      <name val="Cambria"/>
      <family val="1"/>
      <scheme val="major"/>
    </font>
    <font>
      <b/>
      <sz val="11"/>
      <color theme="1"/>
      <name val="Calibri"/>
      <family val="2"/>
      <scheme val="minor"/>
    </font>
    <font>
      <b/>
      <sz val="10"/>
      <color theme="1" tint="0.249977111117893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0">
    <xf numFmtId="0" fontId="0" fillId="0" borderId="0" xfId="0"/>
    <xf numFmtId="2" fontId="2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Border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0" xfId="0" applyNumberFormat="1" applyProtection="1"/>
    <xf numFmtId="0" fontId="4" fillId="0" borderId="0" xfId="0" applyNumberFormat="1" applyFont="1" applyProtection="1"/>
    <xf numFmtId="0" fontId="2" fillId="0" borderId="0" xfId="0" applyFont="1"/>
    <xf numFmtId="0" fontId="2" fillId="0" borderId="0" xfId="0" applyNumberFormat="1" applyFont="1" applyProtection="1"/>
    <xf numFmtId="0" fontId="5" fillId="0" borderId="0" xfId="0" applyNumberFormat="1" applyFont="1" applyProtection="1"/>
    <xf numFmtId="0" fontId="5" fillId="0" borderId="0" xfId="0" applyNumberFormat="1" applyFont="1" applyBorder="1" applyAlignment="1" applyProtection="1">
      <alignment horizontal="left" vertical="center"/>
    </xf>
    <xf numFmtId="0" fontId="2" fillId="0" borderId="2" xfId="0" quotePrefix="1" applyFont="1" applyBorder="1" applyAlignment="1" applyProtection="1">
      <alignment horizontal="right" vertical="center"/>
      <protection locked="0"/>
    </xf>
    <xf numFmtId="0" fontId="2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horizontal="left" vertical="center"/>
    </xf>
    <xf numFmtId="15" fontId="2" fillId="0" borderId="1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1" fontId="2" fillId="0" borderId="1" xfId="0" applyNumberFormat="1" applyFont="1" applyFill="1" applyBorder="1" applyAlignment="1" applyProtection="1">
      <alignment horizontal="center" vertical="center"/>
    </xf>
    <xf numFmtId="21" fontId="2" fillId="0" borderId="1" xfId="0" applyNumberFormat="1" applyFont="1" applyFill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5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AB"/>
      <color rgb="FFFFFF87"/>
      <color rgb="FFFFFF00"/>
      <color rgb="FFFF8787"/>
      <color rgb="FFFF0000"/>
      <color rgb="FF8787FF"/>
      <color rgb="FF0000FF"/>
      <color rgb="FFFFFF99"/>
      <color rgb="FFFFFFFF"/>
      <color rgb="FFFFFFCC"/>
    </mruColors>
  </colors>
</styleSheet>
</file>

<file path=xl/volatileDependencies.xml><?xml version="1.0" encoding="utf-8"?>
<volTypes xmlns="http://schemas.openxmlformats.org/spreadsheetml/2006/main">
  <volType type="realTimeData">
    <main first="kotaknet.rtd">
      <tp>
        <v>0</v>
        <stp/>
        <stp>0.NSE</stp>
        <stp>VOLUME</stp>
        <tr r="P11" s="35"/>
        <tr r="P15" s="35"/>
        <tr r="P7" s="35"/>
        <tr r="P16" s="35"/>
        <tr r="P8" s="35"/>
        <tr r="P13" s="35"/>
        <tr r="P5" s="35"/>
        <tr r="P14" s="35"/>
        <tr r="P6" s="35"/>
        <tr r="P10" s="35"/>
        <tr r="P3" s="35"/>
        <tr r="P12" s="35"/>
        <tr r="P9" s="35"/>
        <tr r="P4" s="35"/>
        <tr r="P2" s="35"/>
      </tp>
      <tp>
        <v>0</v>
        <stp/>
        <stp>0.NSE</stp>
        <stp>NETQTY</stp>
        <tr r="Z16" s="35"/>
        <tr r="Z13" s="35"/>
        <tr r="Z4" s="35"/>
        <tr r="Z10" s="35"/>
        <tr r="Z15" s="35"/>
        <tr r="Z7" s="35"/>
        <tr r="Z8" s="35"/>
        <tr r="Z12" s="35"/>
        <tr r="Z9" s="35"/>
        <tr r="Z2" s="35"/>
        <tr r="Z5" s="35"/>
        <tr r="Z14" s="35"/>
        <tr r="Z6" s="35"/>
        <tr r="Z11" s="35"/>
        <tr r="Z3" s="35"/>
      </tp>
      <tp>
        <v>0</v>
        <stp/>
        <stp>0.NSE</stp>
        <stp>BOUGHTQTY</stp>
        <tr r="AC2" s="35"/>
        <tr r="AC16" s="35"/>
        <tr r="AC8" s="35"/>
        <tr r="AC13" s="35"/>
        <tr r="AC5" s="35"/>
        <tr r="AC14" s="35"/>
        <tr r="AC6" s="35"/>
        <tr r="AC11" s="35"/>
        <tr r="AC3" s="35"/>
        <tr r="AC12" s="35"/>
        <tr r="AC9" s="35"/>
        <tr r="AC4" s="35"/>
        <tr r="AC10" s="35"/>
        <tr r="AC15" s="35"/>
        <tr r="AC7" s="35"/>
      </tp>
      <tp>
        <v>1</v>
        <stp/>
        <stp>PING2.PING2</stp>
        <stp>PING</stp>
        <tr r="C4" s="37"/>
      </tp>
      <tp>
        <v>0</v>
        <stp/>
        <stp>0.NSE</stp>
        <stp>NETCHG</stp>
        <tr r="I2" s="35"/>
        <tr r="I12" s="35"/>
        <tr r="I9" s="35"/>
        <tr r="I4" s="35"/>
        <tr r="I10" s="35"/>
        <tr r="I15" s="35"/>
        <tr r="I7" s="35"/>
        <tr r="I16" s="35"/>
        <tr r="I8" s="35"/>
        <tr r="I13" s="35"/>
        <tr r="I5" s="35"/>
        <tr r="I14" s="35"/>
        <tr r="I6" s="35"/>
        <tr r="I11" s="35"/>
        <tr r="I3" s="35"/>
      </tp>
      <tp>
        <v>0</v>
        <stp/>
        <stp>0.NSE</stp>
        <stp>PCTCHG</stp>
        <tr r="J13" s="35"/>
        <tr r="J4" s="35"/>
        <tr r="J10" s="35"/>
        <tr r="J15" s="35"/>
        <tr r="J7" s="35"/>
        <tr r="J16" s="35"/>
        <tr r="J8" s="35"/>
        <tr r="J12" s="35"/>
        <tr r="J9" s="35"/>
        <tr r="J2" s="35"/>
        <tr r="J5" s="35"/>
        <tr r="J14" s="35"/>
        <tr r="J6" s="35"/>
        <tr r="J11" s="35"/>
        <tr r="J3" s="35"/>
      </tp>
      <tp>
        <v>0</v>
        <stp/>
        <stp>0.NSE</stp>
        <stp>AVGBOUGHTPRICE</stp>
        <tr r="AA14" s="35"/>
        <tr r="AA6" s="35"/>
        <tr r="AA11" s="35"/>
        <tr r="AA3" s="35"/>
        <tr r="AA2" s="35"/>
        <tr r="AA12" s="35"/>
        <tr r="AA9" s="35"/>
        <tr r="AA4" s="35"/>
        <tr r="AA10" s="35"/>
        <tr r="AA15" s="35"/>
        <tr r="AA7" s="35"/>
        <tr r="AA16" s="35"/>
        <tr r="AA8" s="35"/>
        <tr r="AA13" s="35"/>
        <tr r="AA5" s="35"/>
      </tp>
      <tp>
        <v>0</v>
        <stp/>
        <stp>0.NSE</stp>
        <stp>ASK</stp>
        <tr r="M2" s="35"/>
        <tr r="M16" s="35"/>
        <tr r="M8" s="35"/>
        <tr r="M13" s="35"/>
        <tr r="M5" s="35"/>
        <tr r="M14" s="35"/>
        <tr r="M6" s="35"/>
        <tr r="M11" s="35"/>
        <tr r="M3" s="35"/>
        <tr r="M12" s="35"/>
        <tr r="M9" s="35"/>
        <tr r="M4" s="35"/>
        <tr r="M10" s="35"/>
        <tr r="M15" s="35"/>
        <tr r="M7" s="35"/>
      </tp>
      <tp>
        <v>0</v>
        <stp/>
        <stp>0.NSE</stp>
        <stp>BID</stp>
        <tr r="K14" s="35"/>
        <tr r="K6" s="35"/>
        <tr r="K11" s="35"/>
        <tr r="K3" s="35"/>
        <tr r="K2" s="35"/>
        <tr r="K12" s="35"/>
        <tr r="K9" s="35"/>
        <tr r="K4" s="35"/>
        <tr r="K10" s="35"/>
        <tr r="K15" s="35"/>
        <tr r="K7" s="35"/>
        <tr r="K16" s="35"/>
        <tr r="K8" s="35"/>
        <tr r="K13" s="35"/>
        <tr r="K5" s="35"/>
      </tp>
      <tp>
        <v>0</v>
        <stp/>
        <stp>0.NSE</stp>
        <stp>LOWERCKT</stp>
        <tr r="AF14" s="35"/>
        <tr r="AF11" s="35"/>
        <tr r="AF15" s="35"/>
        <tr r="AF7" s="35"/>
        <tr r="AF16" s="35"/>
        <tr r="AF8" s="35"/>
        <tr r="AF13" s="35"/>
        <tr r="AF5" s="35"/>
        <tr r="AF6" s="35"/>
        <tr r="AF10" s="35"/>
        <tr r="AF3" s="35"/>
        <tr r="AF12" s="35"/>
        <tr r="AF9" s="35"/>
        <tr r="AF4" s="35"/>
        <tr r="AF2" s="35"/>
      </tp>
      <tp>
        <v>0</v>
        <stp/>
        <stp>0.NSE</stp>
        <stp>TOTALBUYQTY</stp>
        <tr r="Q12" s="35"/>
        <tr r="Q9" s="35"/>
        <tr r="Q4" s="35"/>
        <tr r="Q10" s="35"/>
        <tr r="Q15" s="35"/>
        <tr r="Q7" s="35"/>
        <tr r="Q2" s="35"/>
        <tr r="Q16" s="35"/>
        <tr r="Q8" s="35"/>
        <tr r="Q13" s="35"/>
        <tr r="Q5" s="35"/>
        <tr r="Q14" s="35"/>
        <tr r="Q6" s="35"/>
        <tr r="Q11" s="35"/>
        <tr r="Q3" s="35"/>
      </tp>
      <tp>
        <v>0</v>
        <stp/>
        <stp>0.NSE</stp>
        <stp>LOW</stp>
        <tr r="V9" s="35"/>
        <tr r="V16" s="35"/>
        <tr r="V13" s="35"/>
        <tr r="V2" s="35"/>
        <tr r="V5" s="35"/>
        <tr r="V14" s="35"/>
        <tr r="V6" s="35"/>
        <tr r="V11" s="35"/>
        <tr r="V3" s="35"/>
        <tr r="V12" s="35"/>
        <tr r="V8" s="35"/>
        <tr r="V4" s="35"/>
        <tr r="V10" s="35"/>
        <tr r="V15" s="35"/>
        <tr r="V7" s="35"/>
      </tp>
      <tp>
        <v>0</v>
        <stp/>
        <stp>0.NSE</stp>
        <stp>LTT</stp>
        <tr r="X6" s="35"/>
        <tr r="X10" s="35"/>
        <tr r="X7" s="35"/>
        <tr r="X16" s="35"/>
        <tr r="X8" s="35"/>
        <tr r="X13" s="35"/>
        <tr r="X5" s="35"/>
        <tr r="X14" s="35"/>
        <tr r="X11" s="35"/>
        <tr r="X15" s="35"/>
        <tr r="X3" s="35"/>
        <tr r="X12" s="35"/>
        <tr r="X9" s="35"/>
        <tr r="X4" s="35"/>
        <tr r="X2" s="35"/>
      </tp>
      <tp>
        <v>0</v>
        <stp/>
        <stp>0.NSE</stp>
        <stp>LASTSIZE</stp>
        <tr r="H10" s="35"/>
        <tr r="H7" s="35"/>
        <tr r="H16" s="35"/>
        <tr r="H8" s="35"/>
        <tr r="H13" s="35"/>
        <tr r="H5" s="35"/>
        <tr r="H6" s="35"/>
        <tr r="H14" s="35"/>
        <tr r="H11" s="35"/>
        <tr r="H15" s="35"/>
        <tr r="H3" s="35"/>
        <tr r="H12" s="35"/>
        <tr r="H9" s="35"/>
        <tr r="H4" s="35"/>
        <tr r="H2" s="35"/>
      </tp>
      <tp>
        <v>0</v>
        <stp/>
        <stp>0.NSE</stp>
        <stp>MTM</stp>
        <tr r="Y12" s="35"/>
        <tr r="Y9" s="35"/>
        <tr r="Y4" s="35"/>
        <tr r="Y10" s="35"/>
        <tr r="Y15" s="35"/>
        <tr r="Y7" s="35"/>
        <tr r="Y2" s="35"/>
        <tr r="Y16" s="35"/>
        <tr r="Y8" s="35"/>
        <tr r="Y13" s="35"/>
        <tr r="Y5" s="35"/>
        <tr r="Y14" s="35"/>
        <tr r="Y6" s="35"/>
        <tr r="Y11" s="35"/>
        <tr r="Y3" s="35"/>
      </tp>
      <tp>
        <v>0</v>
        <stp/>
        <stp>0.NSE</stp>
        <stp>UPPERCKT</stp>
        <tr r="AE10" s="35"/>
        <tr r="AE15" s="35"/>
        <tr r="AE7" s="35"/>
        <tr r="AE16" s="35"/>
        <tr r="AE8" s="35"/>
        <tr r="AE13" s="35"/>
        <tr r="AE5" s="35"/>
        <tr r="AE14" s="35"/>
        <tr r="AE6" s="35"/>
        <tr r="AE11" s="35"/>
        <tr r="AE3" s="35"/>
        <tr r="AE2" s="35"/>
        <tr r="AE12" s="35"/>
        <tr r="AE9" s="35"/>
        <tr r="AE4" s="35"/>
      </tp>
      <tp>
        <v>0</v>
        <stp/>
        <stp>0.NSE</stp>
        <stp>AVGPRICE</stp>
        <tr r="O10" s="35"/>
        <tr r="O15" s="35"/>
        <tr r="O7" s="35"/>
        <tr r="O16" s="35"/>
        <tr r="O8" s="35"/>
        <tr r="O13" s="35"/>
        <tr r="O5" s="35"/>
        <tr r="O14" s="35"/>
        <tr r="O6" s="35"/>
        <tr r="O11" s="35"/>
        <tr r="O3" s="35"/>
        <tr r="O2" s="35"/>
        <tr r="O12" s="35"/>
        <tr r="O9" s="35"/>
        <tr r="O4" s="35"/>
      </tp>
      <tp>
        <v>0</v>
        <stp/>
        <stp>0.NSE</stp>
        <stp>OI</stp>
        <tr r="S14" s="35"/>
        <tr r="S6" s="35"/>
        <tr r="S11" s="35"/>
        <tr r="S3" s="35"/>
        <tr r="S2" s="35"/>
        <tr r="S12" s="35"/>
        <tr r="S9" s="35"/>
        <tr r="S4" s="35"/>
        <tr r="S10" s="35"/>
        <tr r="S15" s="35"/>
        <tr r="S7" s="35"/>
        <tr r="S16" s="35"/>
        <tr r="S8" s="35"/>
        <tr r="S13" s="35"/>
        <tr r="S5" s="35"/>
      </tp>
      <tp>
        <v>0</v>
        <stp/>
        <stp>0.NSE</stp>
        <stp>CLOSE</stp>
        <tr r="W10" s="35"/>
        <tr r="W15" s="35"/>
        <tr r="W7" s="35"/>
        <tr r="W16" s="35"/>
        <tr r="W8" s="35"/>
        <tr r="W13" s="35"/>
        <tr r="W5" s="35"/>
        <tr r="W14" s="35"/>
        <tr r="W6" s="35"/>
        <tr r="W11" s="35"/>
        <tr r="W3" s="35"/>
        <tr r="W2" s="35"/>
        <tr r="W12" s="35"/>
        <tr r="W9" s="35"/>
        <tr r="W4" s="35"/>
      </tp>
      <tp>
        <v>0</v>
        <stp/>
        <stp>0.NSE</stp>
        <stp>SOLDQTY</stp>
        <tr r="AD8" s="35"/>
        <tr r="AD2" s="35"/>
        <tr r="AD5" s="35"/>
        <tr r="AD14" s="35"/>
        <tr r="AD6" s="35"/>
        <tr r="AD11" s="35"/>
        <tr r="AD3" s="35"/>
        <tr r="AD12" s="35"/>
        <tr r="AD9" s="35"/>
        <tr r="AD16" s="35"/>
        <tr r="AD13" s="35"/>
        <tr r="AD4" s="35"/>
        <tr r="AD10" s="35"/>
        <tr r="AD15" s="35"/>
        <tr r="AD7" s="35"/>
      </tp>
      <tp>
        <v>0</v>
        <stp/>
        <stp>0.NSE</stp>
        <stp>LAST</stp>
        <tr r="G10" s="35"/>
        <tr r="G15" s="35"/>
        <tr r="G7" s="35"/>
        <tr r="G16" s="35"/>
        <tr r="G8" s="35"/>
        <tr r="G13" s="35"/>
        <tr r="G5" s="35"/>
        <tr r="G14" s="35"/>
        <tr r="G6" s="35"/>
        <tr r="G11" s="35"/>
        <tr r="G3" s="35"/>
        <tr r="G2" s="35"/>
        <tr r="G12" s="35"/>
        <tr r="G9" s="35"/>
        <tr r="G4" s="35"/>
      </tp>
      <tp>
        <v>0</v>
        <stp/>
        <stp>0.NSE</stp>
        <stp>ASKSIZE</stp>
        <tr r="N8" s="35"/>
        <tr r="N2" s="35"/>
        <tr r="N5" s="35"/>
        <tr r="N14" s="35"/>
        <tr r="N6" s="35"/>
        <tr r="N11" s="35"/>
        <tr r="N3" s="35"/>
        <tr r="N12" s="35"/>
        <tr r="N9" s="35"/>
        <tr r="N16" s="35"/>
        <tr r="N13" s="35"/>
        <tr r="N4" s="35"/>
        <tr r="N10" s="35"/>
        <tr r="N15" s="35"/>
        <tr r="N7" s="35"/>
      </tp>
      <tp>
        <v>0</v>
        <stp/>
        <stp>0.NSE</stp>
        <stp>TOTALSELLQTY</stp>
        <tr r="R8" s="35"/>
        <tr r="R12" s="35"/>
        <tr r="R9" s="35"/>
        <tr r="R4" s="35"/>
        <tr r="R10" s="35"/>
        <tr r="R15" s="35"/>
        <tr r="R7" s="35"/>
        <tr r="R16" s="35"/>
        <tr r="R13" s="35"/>
        <tr r="R2" s="35"/>
        <tr r="R5" s="35"/>
        <tr r="R14" s="35"/>
        <tr r="R6" s="35"/>
        <tr r="R11" s="35"/>
        <tr r="R3" s="35"/>
      </tp>
      <tp>
        <v>0</v>
        <stp/>
        <stp>0.NSE</stp>
        <stp>BIDSIZE</stp>
        <tr r="L10" s="35"/>
        <tr r="L14" s="35"/>
        <tr r="L11" s="35"/>
        <tr r="L3" s="35"/>
        <tr r="L12" s="35"/>
        <tr r="L9" s="35"/>
        <tr r="L4" s="35"/>
        <tr r="L2" s="35"/>
        <tr r="L15" s="35"/>
        <tr r="L6" s="35"/>
        <tr r="L7" s="35"/>
        <tr r="L16" s="35"/>
        <tr r="L8" s="35"/>
        <tr r="L13" s="35"/>
        <tr r="L5" s="35"/>
      </tp>
      <tp>
        <v>0</v>
        <stp/>
        <stp>0.NSE</stp>
        <stp>HIGH</stp>
        <tr r="U16" s="35"/>
        <tr r="U8" s="35"/>
        <tr r="U13" s="35"/>
        <tr r="U5" s="35"/>
        <tr r="U14" s="35"/>
        <tr r="U6" s="35"/>
        <tr r="U11" s="35"/>
        <tr r="U3" s="35"/>
        <tr r="U2" s="35"/>
        <tr r="U12" s="35"/>
        <tr r="U9" s="35"/>
        <tr r="U4" s="35"/>
        <tr r="U10" s="35"/>
        <tr r="U15" s="35"/>
        <tr r="U7" s="35"/>
      </tp>
      <tp>
        <v>0</v>
        <stp/>
        <stp>0.NSE</stp>
        <stp>OPEN</stp>
        <tr r="T15" s="35"/>
        <tr r="T6" s="35"/>
        <tr r="T3" s="35"/>
        <tr r="T12" s="35"/>
        <tr r="T9" s="35"/>
        <tr r="T4" s="35"/>
        <tr r="T2" s="35"/>
        <tr r="T10" s="35"/>
        <tr r="T14" s="35"/>
        <tr r="T11" s="35"/>
        <tr r="T7" s="35"/>
        <tr r="T16" s="35"/>
        <tr r="T8" s="35"/>
        <tr r="T13" s="35"/>
        <tr r="T5" s="35"/>
      </tp>
      <tp>
        <v>0</v>
        <stp/>
        <stp>0.NSE</stp>
        <stp>AVGSOLDPRICE</stp>
        <tr r="AB14" s="35"/>
        <tr r="AB11" s="35"/>
        <tr r="AB3" s="35"/>
        <tr r="AB12" s="35"/>
        <tr r="AB9" s="35"/>
        <tr r="AB4" s="35"/>
        <tr r="AB2" s="35"/>
        <tr r="AB10" s="35"/>
        <tr r="AB15" s="35"/>
        <tr r="AB6" s="35"/>
        <tr r="AB7" s="35"/>
        <tr r="AB16" s="35"/>
        <tr r="AB8" s="35"/>
        <tr r="AB13" s="35"/>
        <tr r="AB5" s="3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A1:P48"/>
  <sheetViews>
    <sheetView showGridLines="0" workbookViewId="0">
      <selection activeCell="C5" sqref="C5"/>
    </sheetView>
  </sheetViews>
  <sheetFormatPr defaultColWidth="0" defaultRowHeight="15" customHeight="1" zeroHeight="1"/>
  <cols>
    <col min="1" max="1" width="20.7109375" style="2" customWidth="1"/>
    <col min="2" max="2" width="13" style="2" customWidth="1"/>
    <col min="3" max="3" width="54.85546875" style="2" customWidth="1"/>
    <col min="4" max="4" width="20.7109375" style="2" customWidth="1"/>
    <col min="5" max="5" width="9.140625" hidden="1" customWidth="1"/>
    <col min="6" max="6" width="7.42578125" hidden="1" customWidth="1"/>
    <col min="7" max="11" width="9.140625" hidden="1" customWidth="1"/>
    <col min="12" max="16" width="7.42578125" hidden="1" customWidth="1"/>
    <col min="17" max="16384" width="9.140625" hidden="1"/>
  </cols>
  <sheetData>
    <row r="1" spans="1:4" ht="15" customHeight="1">
      <c r="A1" s="8"/>
      <c r="B1" s="8"/>
      <c r="C1" s="8"/>
      <c r="D1" s="8"/>
    </row>
    <row r="2" spans="1:4" ht="15" customHeight="1">
      <c r="A2" s="8"/>
      <c r="B2" s="8"/>
      <c r="C2" s="8"/>
      <c r="D2" s="8"/>
    </row>
    <row r="3" spans="1:4" ht="15" customHeight="1">
      <c r="A3" s="8"/>
      <c r="B3" s="8"/>
      <c r="C3" s="8"/>
      <c r="D3" s="8"/>
    </row>
    <row r="4" spans="1:4" ht="15" customHeight="1">
      <c r="A4" s="8"/>
      <c r="B4" s="14" t="s">
        <v>5</v>
      </c>
      <c r="C4" s="12">
        <f>GetRTD("PING2","PING2","PING")</f>
        <v>1</v>
      </c>
      <c r="D4" s="8"/>
    </row>
    <row r="5" spans="1:4" ht="15" customHeight="1">
      <c r="A5" s="8"/>
      <c r="B5" s="14" t="s">
        <v>16</v>
      </c>
      <c r="C5" s="13" t="str">
        <f>GetClientID(PING)</f>
        <v>NA</v>
      </c>
      <c r="D5" s="8"/>
    </row>
    <row r="6" spans="1:4" ht="15" customHeight="1">
      <c r="A6" s="8"/>
      <c r="B6" s="14" t="s">
        <v>14</v>
      </c>
      <c r="C6" s="13" t="str">
        <f>GetClientName(PING)</f>
        <v>NA</v>
      </c>
      <c r="D6" s="8"/>
    </row>
    <row r="7" spans="1:4" ht="15" customHeight="1">
      <c r="A7" s="8"/>
      <c r="B7" s="14" t="s">
        <v>15</v>
      </c>
      <c r="C7" s="13" t="str">
        <f>GetBridgeStatus(PING)</f>
        <v>WAITING</v>
      </c>
      <c r="D7" s="8"/>
    </row>
    <row r="8" spans="1:4" ht="15" customHeight="1">
      <c r="A8" s="8"/>
      <c r="B8" s="8"/>
      <c r="C8" s="8"/>
      <c r="D8" s="8"/>
    </row>
    <row r="9" spans="1:4" ht="15" customHeight="1">
      <c r="A9" s="8"/>
      <c r="B9" s="8"/>
      <c r="C9" s="8"/>
      <c r="D9" s="8"/>
    </row>
    <row r="10" spans="1:4" ht="15" customHeight="1">
      <c r="A10" s="8"/>
      <c r="B10" s="8"/>
      <c r="C10" s="8"/>
      <c r="D10" s="8"/>
    </row>
    <row r="11" spans="1:4" ht="15" hidden="1" customHeight="1">
      <c r="A11" s="8"/>
      <c r="B11" s="8"/>
      <c r="C11" s="8"/>
      <c r="D11" s="8"/>
    </row>
    <row r="12" spans="1:4" ht="15" hidden="1" customHeight="1">
      <c r="A12" s="8"/>
      <c r="B12" s="8"/>
      <c r="C12" s="8"/>
      <c r="D12" s="8"/>
    </row>
    <row r="13" spans="1:4" ht="15" hidden="1" customHeight="1">
      <c r="A13" s="8"/>
      <c r="B13" s="8"/>
      <c r="C13" s="8"/>
      <c r="D13" s="8"/>
    </row>
    <row r="14" spans="1:4" ht="15" hidden="1" customHeight="1">
      <c r="A14" s="8"/>
      <c r="B14" s="8"/>
      <c r="C14" s="8"/>
      <c r="D14" s="8"/>
    </row>
    <row r="15" spans="1:4" ht="15" hidden="1" customHeight="1">
      <c r="A15" s="9"/>
      <c r="B15" s="10"/>
      <c r="C15" s="9"/>
      <c r="D15" s="9"/>
    </row>
    <row r="16" spans="1:4" ht="15" hidden="1" customHeight="1">
      <c r="A16" s="9"/>
      <c r="B16" s="9"/>
      <c r="C16" s="9"/>
      <c r="D16" s="9"/>
    </row>
    <row r="17" spans="1:4" ht="15" hidden="1" customHeight="1">
      <c r="A17" s="9"/>
      <c r="B17" s="9"/>
      <c r="C17" s="9"/>
      <c r="D17" s="9"/>
    </row>
    <row r="18" spans="1:4" ht="15" hidden="1" customHeight="1">
      <c r="A18" s="9"/>
      <c r="B18" s="9"/>
      <c r="C18" s="9"/>
      <c r="D18" s="9"/>
    </row>
    <row r="19" spans="1:4" ht="15" hidden="1" customHeight="1">
      <c r="A19" s="9"/>
      <c r="B19" s="9"/>
      <c r="C19" s="9"/>
      <c r="D19" s="9"/>
    </row>
    <row r="20" spans="1:4" ht="15" hidden="1" customHeight="1">
      <c r="A20" s="11"/>
      <c r="B20" s="9"/>
      <c r="C20" s="9"/>
      <c r="D20" s="9"/>
    </row>
    <row r="21" spans="1:4" ht="15" hidden="1" customHeight="1">
      <c r="A21" s="11"/>
      <c r="B21" s="9"/>
      <c r="C21" s="9"/>
      <c r="D21" s="9"/>
    </row>
    <row r="22" spans="1:4" ht="15" hidden="1" customHeight="1">
      <c r="A22" s="9"/>
      <c r="B22" s="9"/>
      <c r="C22" s="9"/>
      <c r="D22" s="9"/>
    </row>
    <row r="23" spans="1:4" ht="15" hidden="1" customHeight="1">
      <c r="A23" s="9"/>
      <c r="B23" s="9"/>
      <c r="C23" s="9"/>
      <c r="D23" s="9"/>
    </row>
    <row r="24" spans="1:4" ht="15" hidden="1" customHeight="1">
      <c r="A24" s="9"/>
      <c r="B24" s="9"/>
      <c r="C24" s="9"/>
      <c r="D24" s="9"/>
    </row>
    <row r="25" spans="1:4" ht="15" hidden="1" customHeight="1">
      <c r="A25" s="9"/>
      <c r="B25" s="9"/>
      <c r="C25" s="9"/>
      <c r="D25" s="9"/>
    </row>
    <row r="26" spans="1:4" ht="15" hidden="1" customHeight="1">
      <c r="A26" s="9"/>
      <c r="B26" s="9"/>
      <c r="C26" s="9"/>
      <c r="D26" s="9"/>
    </row>
    <row r="27" spans="1:4" ht="15" hidden="1" customHeight="1">
      <c r="A27" s="9"/>
      <c r="B27" s="9"/>
      <c r="C27" s="9"/>
      <c r="D27" s="9"/>
    </row>
    <row r="28" spans="1:4" ht="15" hidden="1" customHeight="1">
      <c r="A28" s="9"/>
      <c r="B28" s="9"/>
      <c r="C28" s="9"/>
      <c r="D28" s="9"/>
    </row>
    <row r="29" spans="1:4" ht="15" hidden="1" customHeight="1">
      <c r="A29" s="9"/>
      <c r="B29" s="9"/>
      <c r="C29" s="9"/>
      <c r="D29" s="9"/>
    </row>
    <row r="30" spans="1:4" ht="15" hidden="1" customHeight="1">
      <c r="A30" s="9"/>
      <c r="B30" s="9"/>
      <c r="C30" s="9"/>
      <c r="D30" s="9"/>
    </row>
    <row r="31" spans="1:4" ht="15" hidden="1" customHeight="1">
      <c r="A31" s="9"/>
      <c r="B31" s="9"/>
      <c r="C31" s="9"/>
      <c r="D31" s="9"/>
    </row>
    <row r="32" spans="1:4" ht="15" hidden="1" customHeight="1">
      <c r="A32" s="9"/>
      <c r="B32" s="9"/>
      <c r="C32" s="9"/>
      <c r="D32" s="9"/>
    </row>
    <row r="33" spans="1:4" ht="15" hidden="1" customHeight="1">
      <c r="A33" s="9"/>
      <c r="B33" s="9"/>
      <c r="C33" s="9"/>
      <c r="D33" s="9"/>
    </row>
    <row r="34" spans="1:4" ht="15" hidden="1" customHeight="1">
      <c r="A34" s="9"/>
      <c r="B34" s="9"/>
      <c r="C34" s="9"/>
      <c r="D34" s="9"/>
    </row>
    <row r="35" spans="1:4" ht="15" hidden="1" customHeight="1">
      <c r="A35" s="9"/>
      <c r="B35" s="9"/>
      <c r="C35" s="9"/>
      <c r="D35" s="9"/>
    </row>
    <row r="36" spans="1:4" ht="15" hidden="1" customHeight="1">
      <c r="A36" s="9"/>
      <c r="B36" s="9"/>
      <c r="C36" s="9"/>
      <c r="D36" s="9"/>
    </row>
    <row r="37" spans="1:4" ht="15" hidden="1" customHeight="1">
      <c r="A37" s="9"/>
      <c r="B37" s="9"/>
      <c r="C37" s="9"/>
      <c r="D37" s="9"/>
    </row>
    <row r="38" spans="1:4" ht="15" hidden="1" customHeight="1">
      <c r="A38" s="9"/>
      <c r="B38" s="9"/>
      <c r="C38" s="9"/>
      <c r="D38" s="9"/>
    </row>
    <row r="39" spans="1:4" ht="15" hidden="1" customHeight="1">
      <c r="A39" s="9"/>
      <c r="B39" s="9"/>
      <c r="C39" s="9"/>
      <c r="D39" s="9"/>
    </row>
    <row r="40" spans="1:4" ht="15" hidden="1" customHeight="1">
      <c r="A40" s="9"/>
      <c r="B40" s="9"/>
      <c r="C40" s="9"/>
      <c r="D40" s="9"/>
    </row>
    <row r="41" spans="1:4" ht="15" hidden="1" customHeight="1">
      <c r="A41" s="9"/>
      <c r="B41" s="9"/>
      <c r="C41" s="9"/>
      <c r="D41" s="9"/>
    </row>
    <row r="42" spans="1:4" ht="15" hidden="1" customHeight="1">
      <c r="A42" s="9"/>
      <c r="B42" s="9"/>
      <c r="C42" s="9"/>
      <c r="D42" s="9"/>
    </row>
    <row r="43" spans="1:4" ht="15" hidden="1" customHeight="1">
      <c r="A43" s="9"/>
      <c r="B43" s="9"/>
      <c r="C43" s="9"/>
      <c r="D43" s="9"/>
    </row>
    <row r="44" spans="1:4" ht="15" hidden="1" customHeight="1">
      <c r="A44" s="9"/>
      <c r="B44" s="9"/>
      <c r="C44" s="9"/>
      <c r="D44" s="9"/>
    </row>
    <row r="45" spans="1:4" ht="15" hidden="1" customHeight="1">
      <c r="A45" s="9"/>
      <c r="B45" s="9"/>
      <c r="C45" s="9"/>
      <c r="D45" s="9"/>
    </row>
    <row r="46" spans="1:4" ht="15" hidden="1" customHeight="1"/>
    <row r="47" spans="1:4" ht="15" hidden="1" customHeight="1"/>
    <row r="48" spans="1:4" ht="15" hidden="1" customHeight="1"/>
  </sheetData>
  <sheetProtection sheet="1" objects="1" scenarios="1" selectLockedCells="1" selectUnlockedCells="1"/>
  <conditionalFormatting sqref="C4">
    <cfRule type="expression" dxfId="4" priority="3">
      <formula>ISNUMBER($C$4)=FALSE</formula>
    </cfRule>
  </conditionalFormatting>
  <conditionalFormatting sqref="C7">
    <cfRule type="containsText" dxfId="3" priority="2" operator="containsText" text="CONNECTED">
      <formula>NOT(ISERROR(SEARCH("CONNECTED",C7)))</formula>
    </cfRule>
    <cfRule type="containsText" dxfId="2" priority="1" operator="containsText" text="WAITING">
      <formula>NOT(ISERROR(SEARCH("WAITING",C7)))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AU48"/>
  <sheetViews>
    <sheetView showGridLines="0" tabSelected="1" workbookViewId="0"/>
  </sheetViews>
  <sheetFormatPr defaultRowHeight="15" customHeight="1"/>
  <cols>
    <col min="1" max="6" width="9.140625" style="2"/>
    <col min="7" max="23" width="7.42578125" style="2" customWidth="1"/>
    <col min="24" max="24" width="9.5703125" style="2" customWidth="1"/>
    <col min="25" max="32" width="7.42578125" style="2" customWidth="1"/>
    <col min="33" max="33" width="10.85546875" style="2" customWidth="1"/>
    <col min="34" max="34" width="12.5703125" style="2" customWidth="1"/>
    <col min="35" max="35" width="9.85546875" style="2" customWidth="1"/>
    <col min="36" max="36" width="9.5703125" style="2" customWidth="1"/>
    <col min="37" max="16384" width="9.140625" style="2"/>
  </cols>
  <sheetData>
    <row r="1" spans="1:47" ht="15" customHeight="1">
      <c r="A1" s="3" t="s">
        <v>8</v>
      </c>
      <c r="B1" s="3" t="s">
        <v>9</v>
      </c>
      <c r="C1" s="3" t="s">
        <v>1</v>
      </c>
      <c r="D1" s="3" t="s">
        <v>6</v>
      </c>
      <c r="E1" s="3" t="s">
        <v>4</v>
      </c>
      <c r="F1" s="3" t="s">
        <v>10</v>
      </c>
      <c r="G1" s="3" t="s">
        <v>0</v>
      </c>
      <c r="H1" s="3" t="s">
        <v>18</v>
      </c>
      <c r="I1" s="3" t="s">
        <v>19</v>
      </c>
      <c r="J1" s="3" t="s">
        <v>20</v>
      </c>
      <c r="K1" s="3" t="s">
        <v>21</v>
      </c>
      <c r="L1" s="3" t="s">
        <v>22</v>
      </c>
      <c r="M1" s="3" t="s">
        <v>23</v>
      </c>
      <c r="N1" s="3" t="s">
        <v>24</v>
      </c>
      <c r="O1" s="3" t="s">
        <v>25</v>
      </c>
      <c r="P1" s="3" t="s">
        <v>27</v>
      </c>
      <c r="Q1" s="3" t="s">
        <v>28</v>
      </c>
      <c r="R1" s="3" t="s">
        <v>29</v>
      </c>
      <c r="S1" s="3" t="s">
        <v>36</v>
      </c>
      <c r="T1" s="3" t="s">
        <v>26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3" t="s">
        <v>2</v>
      </c>
      <c r="AH1" s="3" t="s">
        <v>3</v>
      </c>
      <c r="AI1" s="3" t="s">
        <v>7</v>
      </c>
      <c r="AJ1" s="3" t="s">
        <v>11</v>
      </c>
    </row>
    <row r="2" spans="1:47" ht="15" customHeight="1">
      <c r="A2" s="16" t="s">
        <v>12</v>
      </c>
      <c r="B2" s="16" t="s">
        <v>17</v>
      </c>
      <c r="C2" s="17"/>
      <c r="D2" s="16">
        <v>1</v>
      </c>
      <c r="E2" s="16">
        <v>0</v>
      </c>
      <c r="F2" s="16" t="s">
        <v>13</v>
      </c>
      <c r="G2" s="1">
        <f>GetRTD(B2,AH2,"LAST")</f>
        <v>0</v>
      </c>
      <c r="H2" s="18">
        <f>GetRTD(B2,AH2,"LASTSIZE")</f>
        <v>0</v>
      </c>
      <c r="I2" s="1">
        <f>GetRTD(B2,AH2,"NETCHG")</f>
        <v>0</v>
      </c>
      <c r="J2" s="1">
        <f>GetRTD(B2,AH2,"PCTCHG")</f>
        <v>0</v>
      </c>
      <c r="K2" s="1">
        <f>GetRTD(B2,AH2,"BID")</f>
        <v>0</v>
      </c>
      <c r="L2" s="18">
        <f>GetRTD(B2,AH2,"BIDSIZE")</f>
        <v>0</v>
      </c>
      <c r="M2" s="1">
        <f>GetRTD(B2,AH2,"ASK")</f>
        <v>0</v>
      </c>
      <c r="N2" s="18">
        <f>GetRTD(B2,AH2,"ASKSIZE")</f>
        <v>0</v>
      </c>
      <c r="O2" s="1">
        <f>GetRTD(B2,AH2,"AVGPRICE")</f>
        <v>0</v>
      </c>
      <c r="P2" s="18">
        <f>GetRTD(B2,AH2,"VOLUME")</f>
        <v>0</v>
      </c>
      <c r="Q2" s="18">
        <f>GetRTD(B2,AH2,"TOTALBUYQTY")</f>
        <v>0</v>
      </c>
      <c r="R2" s="18">
        <f>GetRTD(B2,AH2,"TOTALSELLQTY")</f>
        <v>0</v>
      </c>
      <c r="S2" s="18">
        <f>GetRTD(B2,AH2,"OI")</f>
        <v>0</v>
      </c>
      <c r="T2" s="1">
        <f>GetRTD(B2,AH2,"OPEN")</f>
        <v>0</v>
      </c>
      <c r="U2" s="1">
        <f>GetRTD(B2,AH2,"HIGH")</f>
        <v>0</v>
      </c>
      <c r="V2" s="1">
        <f>GetRTD(B2,AH2,"LOW")</f>
        <v>0</v>
      </c>
      <c r="W2" s="1">
        <f>GetRTD(B2,AH2,"CLOSE")</f>
        <v>0</v>
      </c>
      <c r="X2" s="19">
        <f>GetRTD(B2,AH2,"LTT")</f>
        <v>0</v>
      </c>
      <c r="Y2" s="1">
        <f>GetRTD(B2,AH2,"MTM")</f>
        <v>0</v>
      </c>
      <c r="Z2" s="18">
        <f>GetRTD(B2,AH2,"NETQTY")</f>
        <v>0</v>
      </c>
      <c r="AA2" s="1">
        <f>GetRTD(B2,AH2,"AVGBOUGHTPRICE")</f>
        <v>0</v>
      </c>
      <c r="AB2" s="1">
        <f>GetRTD(B2,AH2,"AVGSOLDPRICE")</f>
        <v>0</v>
      </c>
      <c r="AC2" s="18">
        <f>GetRTD(B2,AH2,"BOUGHTQTY")</f>
        <v>0</v>
      </c>
      <c r="AD2" s="18">
        <f>GetRTD(B2,AH2,"SOLDQTY")</f>
        <v>0</v>
      </c>
      <c r="AE2" s="1">
        <f>GetRTD(B2,AH2,"UPPERCKT")</f>
        <v>0</v>
      </c>
      <c r="AF2" s="1">
        <f>GetRTD(B2,AH2,"LOWERCKT")</f>
        <v>0</v>
      </c>
      <c r="AG2" s="15">
        <f t="shared" ref="AG2:AG16" si="0">GetContractExpiry(B2, C2, A2, D2,PING)</f>
        <v>0</v>
      </c>
      <c r="AH2" s="4">
        <f>IF(A2="EQ",C2,IF(A2="FUT",GetFutureTradeSymbol(B2, C2, AG2),GetOptionTradeSymbol(B2, C2, AG2, E2, F2)))</f>
        <v>0</v>
      </c>
      <c r="AI2" s="4" t="b">
        <f t="shared" ref="AI2:AI16" si="1">SubscribeQuotes(B2,AH2,PING)</f>
        <v>0</v>
      </c>
      <c r="AJ2" s="4">
        <f t="shared" ref="AJ2:AJ16" si="2">GetPriceSide(AH2, G2, "LTP", "BTN")</f>
        <v>0</v>
      </c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</row>
    <row r="3" spans="1:47" ht="15" customHeight="1">
      <c r="A3" s="16" t="s">
        <v>12</v>
      </c>
      <c r="B3" s="16" t="s">
        <v>17</v>
      </c>
      <c r="C3" s="17"/>
      <c r="D3" s="16">
        <v>1</v>
      </c>
      <c r="E3" s="16">
        <v>0</v>
      </c>
      <c r="F3" s="16" t="s">
        <v>13</v>
      </c>
      <c r="G3" s="1">
        <f t="shared" ref="G3:G16" si="3">GetRTD(B3,AH3,"LAST")</f>
        <v>0</v>
      </c>
      <c r="H3" s="18">
        <f t="shared" ref="H3:H16" si="4">GetRTD(B3,AH3,"LASTSIZE")</f>
        <v>0</v>
      </c>
      <c r="I3" s="1">
        <f t="shared" ref="I3:I16" si="5">GetRTD(B3,AH3,"NETCHG")</f>
        <v>0</v>
      </c>
      <c r="J3" s="1">
        <f t="shared" ref="J3:J16" si="6">GetRTD(B3,AH3,"PCTCHG")</f>
        <v>0</v>
      </c>
      <c r="K3" s="1">
        <f t="shared" ref="K3:K16" si="7">GetRTD(B3,AH3,"BID")</f>
        <v>0</v>
      </c>
      <c r="L3" s="18">
        <f t="shared" ref="L3:L16" si="8">GetRTD(B3,AH3,"BIDSIZE")</f>
        <v>0</v>
      </c>
      <c r="M3" s="1">
        <f t="shared" ref="M3:M16" si="9">GetRTD(B3,AH3,"ASK")</f>
        <v>0</v>
      </c>
      <c r="N3" s="18">
        <f t="shared" ref="N3:N16" si="10">GetRTD(B3,AH3,"ASKSIZE")</f>
        <v>0</v>
      </c>
      <c r="O3" s="1">
        <f t="shared" ref="O3:O16" si="11">GetRTD(B3,AH3,"AVGPRICE")</f>
        <v>0</v>
      </c>
      <c r="P3" s="18">
        <f t="shared" ref="P3:P16" si="12">GetRTD(B3,AH3,"VOLUME")</f>
        <v>0</v>
      </c>
      <c r="Q3" s="18">
        <f t="shared" ref="Q3:Q16" si="13">GetRTD(B3,AH3,"TOTALBUYQTY")</f>
        <v>0</v>
      </c>
      <c r="R3" s="18">
        <f t="shared" ref="R3:R16" si="14">GetRTD(B3,AH3,"TOTALSELLQTY")</f>
        <v>0</v>
      </c>
      <c r="S3" s="18">
        <f t="shared" ref="S3:S16" si="15">GetRTD(B3,AH3,"OI")</f>
        <v>0</v>
      </c>
      <c r="T3" s="1">
        <f t="shared" ref="T3:T16" si="16">GetRTD(B3,AH3,"OPEN")</f>
        <v>0</v>
      </c>
      <c r="U3" s="1">
        <f t="shared" ref="U3:U16" si="17">GetRTD(B3,AH3,"HIGH")</f>
        <v>0</v>
      </c>
      <c r="V3" s="1">
        <f t="shared" ref="V3:V16" si="18">GetRTD(B3,AH3,"LOW")</f>
        <v>0</v>
      </c>
      <c r="W3" s="1">
        <f t="shared" ref="W3:W16" si="19">GetRTD(B3,AH3,"CLOSE")</f>
        <v>0</v>
      </c>
      <c r="X3" s="19">
        <f t="shared" ref="X3:X16" si="20">GetRTD(B3,AH3,"LTT")</f>
        <v>0</v>
      </c>
      <c r="Y3" s="1">
        <f t="shared" ref="Y3:Y16" si="21">GetRTD(B3,AH3,"MTM")</f>
        <v>0</v>
      </c>
      <c r="Z3" s="18">
        <f t="shared" ref="Z3:Z16" si="22">GetRTD(B3,AH3,"NETQTY")</f>
        <v>0</v>
      </c>
      <c r="AA3" s="1">
        <f t="shared" ref="AA3:AA16" si="23">GetRTD(B3,AH3,"AVGBOUGHTPRICE")</f>
        <v>0</v>
      </c>
      <c r="AB3" s="1">
        <f t="shared" ref="AB3:AB16" si="24">GetRTD(B3,AH3,"AVGSOLDPRICE")</f>
        <v>0</v>
      </c>
      <c r="AC3" s="18">
        <f t="shared" ref="AC3:AC16" si="25">GetRTD(B3,AH3,"BOUGHTQTY")</f>
        <v>0</v>
      </c>
      <c r="AD3" s="18">
        <f t="shared" ref="AD3:AD16" si="26">GetRTD(B3,AH3,"SOLDQTY")</f>
        <v>0</v>
      </c>
      <c r="AE3" s="1">
        <f t="shared" ref="AE3:AE16" si="27">GetRTD(B3,AH3,"UPPERCKT")</f>
        <v>0</v>
      </c>
      <c r="AF3" s="1">
        <f t="shared" ref="AF3:AF16" si="28">GetRTD(B3,AH3,"LOWERCKT")</f>
        <v>0</v>
      </c>
      <c r="AG3" s="15">
        <f t="shared" si="0"/>
        <v>0</v>
      </c>
      <c r="AH3" s="4">
        <f>IF(A3="EQ",C3,IF(A3="FUT",GetFutureTradeSymbol(B3, C3, AG3),GetOptionTradeSymbol(B3, C3, AG3, E3, F3)))</f>
        <v>0</v>
      </c>
      <c r="AI3" s="4" t="b">
        <f t="shared" si="1"/>
        <v>0</v>
      </c>
      <c r="AJ3" s="4">
        <f t="shared" si="2"/>
        <v>0</v>
      </c>
    </row>
    <row r="4" spans="1:47" ht="15" customHeight="1">
      <c r="A4" s="16" t="s">
        <v>12</v>
      </c>
      <c r="B4" s="16" t="s">
        <v>17</v>
      </c>
      <c r="C4" s="17"/>
      <c r="D4" s="16">
        <v>1</v>
      </c>
      <c r="E4" s="16">
        <v>0</v>
      </c>
      <c r="F4" s="16" t="s">
        <v>13</v>
      </c>
      <c r="G4" s="1">
        <f t="shared" si="3"/>
        <v>0</v>
      </c>
      <c r="H4" s="18">
        <f t="shared" si="4"/>
        <v>0</v>
      </c>
      <c r="I4" s="1">
        <f t="shared" si="5"/>
        <v>0</v>
      </c>
      <c r="J4" s="1">
        <f t="shared" si="6"/>
        <v>0</v>
      </c>
      <c r="K4" s="1">
        <f t="shared" si="7"/>
        <v>0</v>
      </c>
      <c r="L4" s="18">
        <f t="shared" si="8"/>
        <v>0</v>
      </c>
      <c r="M4" s="1">
        <f t="shared" si="9"/>
        <v>0</v>
      </c>
      <c r="N4" s="18">
        <f t="shared" si="10"/>
        <v>0</v>
      </c>
      <c r="O4" s="1">
        <f t="shared" si="11"/>
        <v>0</v>
      </c>
      <c r="P4" s="18">
        <f t="shared" si="12"/>
        <v>0</v>
      </c>
      <c r="Q4" s="18">
        <f t="shared" si="13"/>
        <v>0</v>
      </c>
      <c r="R4" s="18">
        <f t="shared" si="14"/>
        <v>0</v>
      </c>
      <c r="S4" s="18">
        <f t="shared" si="15"/>
        <v>0</v>
      </c>
      <c r="T4" s="1">
        <f t="shared" si="16"/>
        <v>0</v>
      </c>
      <c r="U4" s="1">
        <f t="shared" si="17"/>
        <v>0</v>
      </c>
      <c r="V4" s="1">
        <f t="shared" si="18"/>
        <v>0</v>
      </c>
      <c r="W4" s="1">
        <f t="shared" si="19"/>
        <v>0</v>
      </c>
      <c r="X4" s="19">
        <f t="shared" si="20"/>
        <v>0</v>
      </c>
      <c r="Y4" s="1">
        <f t="shared" si="21"/>
        <v>0</v>
      </c>
      <c r="Z4" s="18">
        <f t="shared" si="22"/>
        <v>0</v>
      </c>
      <c r="AA4" s="1">
        <f t="shared" si="23"/>
        <v>0</v>
      </c>
      <c r="AB4" s="1">
        <f t="shared" si="24"/>
        <v>0</v>
      </c>
      <c r="AC4" s="18">
        <f t="shared" si="25"/>
        <v>0</v>
      </c>
      <c r="AD4" s="18">
        <f t="shared" si="26"/>
        <v>0</v>
      </c>
      <c r="AE4" s="1">
        <f t="shared" si="27"/>
        <v>0</v>
      </c>
      <c r="AF4" s="1">
        <f t="shared" si="28"/>
        <v>0</v>
      </c>
      <c r="AG4" s="15">
        <f t="shared" si="0"/>
        <v>0</v>
      </c>
      <c r="AH4" s="4">
        <f>IF(A4="EQ",C4,IF(A4="FUT",GetFutureTradeSymbol(B4, C4, AG4),GetOptionTradeSymbol(B4, C4, AG4, E4, F4)))</f>
        <v>0</v>
      </c>
      <c r="AI4" s="4" t="b">
        <f t="shared" si="1"/>
        <v>0</v>
      </c>
      <c r="AJ4" s="4">
        <f t="shared" si="2"/>
        <v>0</v>
      </c>
    </row>
    <row r="5" spans="1:47" ht="15" customHeight="1">
      <c r="A5" s="16" t="s">
        <v>12</v>
      </c>
      <c r="B5" s="16" t="s">
        <v>17</v>
      </c>
      <c r="C5" s="17"/>
      <c r="D5" s="16">
        <v>1</v>
      </c>
      <c r="E5" s="16">
        <v>0</v>
      </c>
      <c r="F5" s="16" t="s">
        <v>13</v>
      </c>
      <c r="G5" s="1">
        <f t="shared" si="3"/>
        <v>0</v>
      </c>
      <c r="H5" s="18">
        <f t="shared" si="4"/>
        <v>0</v>
      </c>
      <c r="I5" s="1">
        <f t="shared" si="5"/>
        <v>0</v>
      </c>
      <c r="J5" s="1">
        <f t="shared" si="6"/>
        <v>0</v>
      </c>
      <c r="K5" s="1">
        <f t="shared" si="7"/>
        <v>0</v>
      </c>
      <c r="L5" s="18">
        <f t="shared" si="8"/>
        <v>0</v>
      </c>
      <c r="M5" s="1">
        <f t="shared" si="9"/>
        <v>0</v>
      </c>
      <c r="N5" s="18">
        <f t="shared" si="10"/>
        <v>0</v>
      </c>
      <c r="O5" s="1">
        <f t="shared" si="11"/>
        <v>0</v>
      </c>
      <c r="P5" s="18">
        <f t="shared" si="12"/>
        <v>0</v>
      </c>
      <c r="Q5" s="18">
        <f t="shared" si="13"/>
        <v>0</v>
      </c>
      <c r="R5" s="18">
        <f t="shared" si="14"/>
        <v>0</v>
      </c>
      <c r="S5" s="18">
        <f t="shared" si="15"/>
        <v>0</v>
      </c>
      <c r="T5" s="1">
        <f t="shared" si="16"/>
        <v>0</v>
      </c>
      <c r="U5" s="1">
        <f t="shared" si="17"/>
        <v>0</v>
      </c>
      <c r="V5" s="1">
        <f t="shared" si="18"/>
        <v>0</v>
      </c>
      <c r="W5" s="1">
        <f t="shared" si="19"/>
        <v>0</v>
      </c>
      <c r="X5" s="19">
        <f t="shared" si="20"/>
        <v>0</v>
      </c>
      <c r="Y5" s="1">
        <f t="shared" si="21"/>
        <v>0</v>
      </c>
      <c r="Z5" s="18">
        <f t="shared" si="22"/>
        <v>0</v>
      </c>
      <c r="AA5" s="1">
        <f t="shared" si="23"/>
        <v>0</v>
      </c>
      <c r="AB5" s="1">
        <f t="shared" si="24"/>
        <v>0</v>
      </c>
      <c r="AC5" s="18">
        <f t="shared" si="25"/>
        <v>0</v>
      </c>
      <c r="AD5" s="18">
        <f t="shared" si="26"/>
        <v>0</v>
      </c>
      <c r="AE5" s="1">
        <f t="shared" si="27"/>
        <v>0</v>
      </c>
      <c r="AF5" s="1">
        <f t="shared" si="28"/>
        <v>0</v>
      </c>
      <c r="AG5" s="15">
        <f t="shared" si="0"/>
        <v>0</v>
      </c>
      <c r="AH5" s="4">
        <f>IF(A5="EQ",C5,IF(A5="FUT",GetFutureTradeSymbol(B5, C5, AG5),GetOptionTradeSymbol(B5, C5, AG5, E5, F5)))</f>
        <v>0</v>
      </c>
      <c r="AI5" s="4" t="b">
        <f t="shared" si="1"/>
        <v>0</v>
      </c>
      <c r="AJ5" s="4">
        <f t="shared" si="2"/>
        <v>0</v>
      </c>
    </row>
    <row r="6" spans="1:47" ht="15" customHeight="1">
      <c r="A6" s="16" t="s">
        <v>12</v>
      </c>
      <c r="B6" s="16" t="s">
        <v>17</v>
      </c>
      <c r="C6" s="17"/>
      <c r="D6" s="16">
        <v>1</v>
      </c>
      <c r="E6" s="16">
        <v>0</v>
      </c>
      <c r="F6" s="16" t="s">
        <v>13</v>
      </c>
      <c r="G6" s="1">
        <f t="shared" si="3"/>
        <v>0</v>
      </c>
      <c r="H6" s="18">
        <f t="shared" si="4"/>
        <v>0</v>
      </c>
      <c r="I6" s="1">
        <f t="shared" si="5"/>
        <v>0</v>
      </c>
      <c r="J6" s="1">
        <f t="shared" si="6"/>
        <v>0</v>
      </c>
      <c r="K6" s="1">
        <f t="shared" si="7"/>
        <v>0</v>
      </c>
      <c r="L6" s="18">
        <f t="shared" si="8"/>
        <v>0</v>
      </c>
      <c r="M6" s="1">
        <f t="shared" si="9"/>
        <v>0</v>
      </c>
      <c r="N6" s="18">
        <f t="shared" si="10"/>
        <v>0</v>
      </c>
      <c r="O6" s="1">
        <f t="shared" si="11"/>
        <v>0</v>
      </c>
      <c r="P6" s="18">
        <f t="shared" si="12"/>
        <v>0</v>
      </c>
      <c r="Q6" s="18">
        <f t="shared" si="13"/>
        <v>0</v>
      </c>
      <c r="R6" s="18">
        <f t="shared" si="14"/>
        <v>0</v>
      </c>
      <c r="S6" s="18">
        <f t="shared" si="15"/>
        <v>0</v>
      </c>
      <c r="T6" s="1">
        <f t="shared" si="16"/>
        <v>0</v>
      </c>
      <c r="U6" s="1">
        <f t="shared" si="17"/>
        <v>0</v>
      </c>
      <c r="V6" s="1">
        <f t="shared" si="18"/>
        <v>0</v>
      </c>
      <c r="W6" s="1">
        <f t="shared" si="19"/>
        <v>0</v>
      </c>
      <c r="X6" s="19">
        <f t="shared" si="20"/>
        <v>0</v>
      </c>
      <c r="Y6" s="1">
        <f t="shared" si="21"/>
        <v>0</v>
      </c>
      <c r="Z6" s="18">
        <f t="shared" si="22"/>
        <v>0</v>
      </c>
      <c r="AA6" s="1">
        <f t="shared" si="23"/>
        <v>0</v>
      </c>
      <c r="AB6" s="1">
        <f t="shared" si="24"/>
        <v>0</v>
      </c>
      <c r="AC6" s="18">
        <f t="shared" si="25"/>
        <v>0</v>
      </c>
      <c r="AD6" s="18">
        <f t="shared" si="26"/>
        <v>0</v>
      </c>
      <c r="AE6" s="1">
        <f t="shared" si="27"/>
        <v>0</v>
      </c>
      <c r="AF6" s="1">
        <f t="shared" si="28"/>
        <v>0</v>
      </c>
      <c r="AG6" s="15">
        <f t="shared" si="0"/>
        <v>0</v>
      </c>
      <c r="AH6" s="4">
        <f>IF(A6="EQ",C6,IF(A6="FUT",GetFutureTradeSymbol(B6, C6, AG6),GetOptionTradeSymbol(B6, C6, AG6, E6, F6)))</f>
        <v>0</v>
      </c>
      <c r="AI6" s="4" t="b">
        <f t="shared" si="1"/>
        <v>0</v>
      </c>
      <c r="AJ6" s="4">
        <f t="shared" si="2"/>
        <v>0</v>
      </c>
    </row>
    <row r="7" spans="1:47" ht="15" customHeight="1">
      <c r="A7" s="16" t="s">
        <v>12</v>
      </c>
      <c r="B7" s="16" t="s">
        <v>17</v>
      </c>
      <c r="C7" s="17"/>
      <c r="D7" s="16">
        <v>1</v>
      </c>
      <c r="E7" s="16">
        <v>0</v>
      </c>
      <c r="F7" s="16" t="s">
        <v>13</v>
      </c>
      <c r="G7" s="1">
        <f t="shared" si="3"/>
        <v>0</v>
      </c>
      <c r="H7" s="18">
        <f t="shared" si="4"/>
        <v>0</v>
      </c>
      <c r="I7" s="1">
        <f t="shared" si="5"/>
        <v>0</v>
      </c>
      <c r="J7" s="1">
        <f t="shared" si="6"/>
        <v>0</v>
      </c>
      <c r="K7" s="1">
        <f t="shared" si="7"/>
        <v>0</v>
      </c>
      <c r="L7" s="18">
        <f t="shared" si="8"/>
        <v>0</v>
      </c>
      <c r="M7" s="1">
        <f t="shared" si="9"/>
        <v>0</v>
      </c>
      <c r="N7" s="18">
        <f t="shared" si="10"/>
        <v>0</v>
      </c>
      <c r="O7" s="1">
        <f t="shared" si="11"/>
        <v>0</v>
      </c>
      <c r="P7" s="18">
        <f t="shared" si="12"/>
        <v>0</v>
      </c>
      <c r="Q7" s="18">
        <f t="shared" si="13"/>
        <v>0</v>
      </c>
      <c r="R7" s="18">
        <f t="shared" si="14"/>
        <v>0</v>
      </c>
      <c r="S7" s="18">
        <f t="shared" si="15"/>
        <v>0</v>
      </c>
      <c r="T7" s="1">
        <f t="shared" si="16"/>
        <v>0</v>
      </c>
      <c r="U7" s="1">
        <f t="shared" si="17"/>
        <v>0</v>
      </c>
      <c r="V7" s="1">
        <f t="shared" si="18"/>
        <v>0</v>
      </c>
      <c r="W7" s="1">
        <f t="shared" si="19"/>
        <v>0</v>
      </c>
      <c r="X7" s="19">
        <f t="shared" si="20"/>
        <v>0</v>
      </c>
      <c r="Y7" s="1">
        <f t="shared" si="21"/>
        <v>0</v>
      </c>
      <c r="Z7" s="18">
        <f t="shared" si="22"/>
        <v>0</v>
      </c>
      <c r="AA7" s="1">
        <f t="shared" si="23"/>
        <v>0</v>
      </c>
      <c r="AB7" s="1">
        <f t="shared" si="24"/>
        <v>0</v>
      </c>
      <c r="AC7" s="18">
        <f t="shared" si="25"/>
        <v>0</v>
      </c>
      <c r="AD7" s="18">
        <f t="shared" si="26"/>
        <v>0</v>
      </c>
      <c r="AE7" s="1">
        <f t="shared" si="27"/>
        <v>0</v>
      </c>
      <c r="AF7" s="1">
        <f t="shared" si="28"/>
        <v>0</v>
      </c>
      <c r="AG7" s="15">
        <f t="shared" si="0"/>
        <v>0</v>
      </c>
      <c r="AH7" s="4">
        <f>IF(A7="EQ",C7,IF(A7="FUT",GetFutureTradeSymbol(B7, C7, AG7),GetOptionTradeSymbol(B7, C7, AG7, E7, F7)))</f>
        <v>0</v>
      </c>
      <c r="AI7" s="4" t="b">
        <f t="shared" si="1"/>
        <v>0</v>
      </c>
      <c r="AJ7" s="4">
        <f t="shared" si="2"/>
        <v>0</v>
      </c>
    </row>
    <row r="8" spans="1:47" ht="15" customHeight="1">
      <c r="A8" s="16" t="s">
        <v>12</v>
      </c>
      <c r="B8" s="16" t="s">
        <v>17</v>
      </c>
      <c r="C8" s="17"/>
      <c r="D8" s="16">
        <v>1</v>
      </c>
      <c r="E8" s="16">
        <v>0</v>
      </c>
      <c r="F8" s="16" t="s">
        <v>13</v>
      </c>
      <c r="G8" s="1">
        <f t="shared" si="3"/>
        <v>0</v>
      </c>
      <c r="H8" s="18">
        <f t="shared" si="4"/>
        <v>0</v>
      </c>
      <c r="I8" s="1">
        <f t="shared" si="5"/>
        <v>0</v>
      </c>
      <c r="J8" s="1">
        <f t="shared" si="6"/>
        <v>0</v>
      </c>
      <c r="K8" s="1">
        <f t="shared" si="7"/>
        <v>0</v>
      </c>
      <c r="L8" s="18">
        <f t="shared" si="8"/>
        <v>0</v>
      </c>
      <c r="M8" s="1">
        <f t="shared" si="9"/>
        <v>0</v>
      </c>
      <c r="N8" s="18">
        <f t="shared" si="10"/>
        <v>0</v>
      </c>
      <c r="O8" s="1">
        <f t="shared" si="11"/>
        <v>0</v>
      </c>
      <c r="P8" s="18">
        <f t="shared" si="12"/>
        <v>0</v>
      </c>
      <c r="Q8" s="18">
        <f t="shared" si="13"/>
        <v>0</v>
      </c>
      <c r="R8" s="18">
        <f t="shared" si="14"/>
        <v>0</v>
      </c>
      <c r="S8" s="18">
        <f t="shared" si="15"/>
        <v>0</v>
      </c>
      <c r="T8" s="1">
        <f t="shared" si="16"/>
        <v>0</v>
      </c>
      <c r="U8" s="1">
        <f t="shared" si="17"/>
        <v>0</v>
      </c>
      <c r="V8" s="1">
        <f t="shared" si="18"/>
        <v>0</v>
      </c>
      <c r="W8" s="1">
        <f t="shared" si="19"/>
        <v>0</v>
      </c>
      <c r="X8" s="19">
        <f t="shared" si="20"/>
        <v>0</v>
      </c>
      <c r="Y8" s="1">
        <f t="shared" si="21"/>
        <v>0</v>
      </c>
      <c r="Z8" s="18">
        <f t="shared" si="22"/>
        <v>0</v>
      </c>
      <c r="AA8" s="1">
        <f t="shared" si="23"/>
        <v>0</v>
      </c>
      <c r="AB8" s="1">
        <f t="shared" si="24"/>
        <v>0</v>
      </c>
      <c r="AC8" s="18">
        <f t="shared" si="25"/>
        <v>0</v>
      </c>
      <c r="AD8" s="18">
        <f t="shared" si="26"/>
        <v>0</v>
      </c>
      <c r="AE8" s="1">
        <f t="shared" si="27"/>
        <v>0</v>
      </c>
      <c r="AF8" s="1">
        <f t="shared" si="28"/>
        <v>0</v>
      </c>
      <c r="AG8" s="15">
        <f t="shared" si="0"/>
        <v>0</v>
      </c>
      <c r="AH8" s="4">
        <f>IF(A8="EQ",C8,IF(A8="FUT",GetFutureTradeSymbol(B8, C8, AG8),GetOptionTradeSymbol(B8, C8, AG8, E8, F8)))</f>
        <v>0</v>
      </c>
      <c r="AI8" s="4" t="b">
        <f t="shared" si="1"/>
        <v>0</v>
      </c>
      <c r="AJ8" s="4">
        <f t="shared" si="2"/>
        <v>0</v>
      </c>
    </row>
    <row r="9" spans="1:47" ht="15" customHeight="1">
      <c r="A9" s="16" t="s">
        <v>12</v>
      </c>
      <c r="B9" s="16" t="s">
        <v>17</v>
      </c>
      <c r="C9" s="17"/>
      <c r="D9" s="16">
        <v>1</v>
      </c>
      <c r="E9" s="16">
        <v>0</v>
      </c>
      <c r="F9" s="16" t="s">
        <v>13</v>
      </c>
      <c r="G9" s="1">
        <f t="shared" si="3"/>
        <v>0</v>
      </c>
      <c r="H9" s="18">
        <f t="shared" si="4"/>
        <v>0</v>
      </c>
      <c r="I9" s="1">
        <f t="shared" si="5"/>
        <v>0</v>
      </c>
      <c r="J9" s="1">
        <f t="shared" si="6"/>
        <v>0</v>
      </c>
      <c r="K9" s="1">
        <f t="shared" si="7"/>
        <v>0</v>
      </c>
      <c r="L9" s="18">
        <f t="shared" si="8"/>
        <v>0</v>
      </c>
      <c r="M9" s="1">
        <f t="shared" si="9"/>
        <v>0</v>
      </c>
      <c r="N9" s="18">
        <f t="shared" si="10"/>
        <v>0</v>
      </c>
      <c r="O9" s="1">
        <f t="shared" si="11"/>
        <v>0</v>
      </c>
      <c r="P9" s="18">
        <f t="shared" si="12"/>
        <v>0</v>
      </c>
      <c r="Q9" s="18">
        <f t="shared" si="13"/>
        <v>0</v>
      </c>
      <c r="R9" s="18">
        <f t="shared" si="14"/>
        <v>0</v>
      </c>
      <c r="S9" s="18">
        <f t="shared" si="15"/>
        <v>0</v>
      </c>
      <c r="T9" s="1">
        <f t="shared" si="16"/>
        <v>0</v>
      </c>
      <c r="U9" s="1">
        <f t="shared" si="17"/>
        <v>0</v>
      </c>
      <c r="V9" s="1">
        <f t="shared" si="18"/>
        <v>0</v>
      </c>
      <c r="W9" s="1">
        <f t="shared" si="19"/>
        <v>0</v>
      </c>
      <c r="X9" s="19">
        <f t="shared" si="20"/>
        <v>0</v>
      </c>
      <c r="Y9" s="1">
        <f t="shared" si="21"/>
        <v>0</v>
      </c>
      <c r="Z9" s="18">
        <f t="shared" si="22"/>
        <v>0</v>
      </c>
      <c r="AA9" s="1">
        <f t="shared" si="23"/>
        <v>0</v>
      </c>
      <c r="AB9" s="1">
        <f t="shared" si="24"/>
        <v>0</v>
      </c>
      <c r="AC9" s="18">
        <f t="shared" si="25"/>
        <v>0</v>
      </c>
      <c r="AD9" s="18">
        <f t="shared" si="26"/>
        <v>0</v>
      </c>
      <c r="AE9" s="1">
        <f t="shared" si="27"/>
        <v>0</v>
      </c>
      <c r="AF9" s="1">
        <f t="shared" si="28"/>
        <v>0</v>
      </c>
      <c r="AG9" s="15">
        <f t="shared" si="0"/>
        <v>0</v>
      </c>
      <c r="AH9" s="4">
        <f>IF(A9="EQ",C9,IF(A9="FUT",GetFutureTradeSymbol(B9, C9, AG9),GetOptionTradeSymbol(B9, C9, AG9, E9, F9)))</f>
        <v>0</v>
      </c>
      <c r="AI9" s="4" t="b">
        <f t="shared" si="1"/>
        <v>0</v>
      </c>
      <c r="AJ9" s="4">
        <f t="shared" si="2"/>
        <v>0</v>
      </c>
    </row>
    <row r="10" spans="1:47" ht="15" customHeight="1">
      <c r="A10" s="16" t="s">
        <v>12</v>
      </c>
      <c r="B10" s="16" t="s">
        <v>17</v>
      </c>
      <c r="C10" s="17"/>
      <c r="D10" s="16">
        <v>1</v>
      </c>
      <c r="E10" s="16">
        <v>0</v>
      </c>
      <c r="F10" s="16" t="s">
        <v>13</v>
      </c>
      <c r="G10" s="1">
        <f t="shared" si="3"/>
        <v>0</v>
      </c>
      <c r="H10" s="18">
        <f t="shared" si="4"/>
        <v>0</v>
      </c>
      <c r="I10" s="1">
        <f t="shared" si="5"/>
        <v>0</v>
      </c>
      <c r="J10" s="1">
        <f t="shared" si="6"/>
        <v>0</v>
      </c>
      <c r="K10" s="1">
        <f t="shared" si="7"/>
        <v>0</v>
      </c>
      <c r="L10" s="18">
        <f t="shared" si="8"/>
        <v>0</v>
      </c>
      <c r="M10" s="1">
        <f t="shared" si="9"/>
        <v>0</v>
      </c>
      <c r="N10" s="18">
        <f t="shared" si="10"/>
        <v>0</v>
      </c>
      <c r="O10" s="1">
        <f t="shared" si="11"/>
        <v>0</v>
      </c>
      <c r="P10" s="18">
        <f t="shared" si="12"/>
        <v>0</v>
      </c>
      <c r="Q10" s="18">
        <f t="shared" si="13"/>
        <v>0</v>
      </c>
      <c r="R10" s="18">
        <f t="shared" si="14"/>
        <v>0</v>
      </c>
      <c r="S10" s="18">
        <f t="shared" si="15"/>
        <v>0</v>
      </c>
      <c r="T10" s="1">
        <f t="shared" si="16"/>
        <v>0</v>
      </c>
      <c r="U10" s="1">
        <f t="shared" si="17"/>
        <v>0</v>
      </c>
      <c r="V10" s="1">
        <f t="shared" si="18"/>
        <v>0</v>
      </c>
      <c r="W10" s="1">
        <f t="shared" si="19"/>
        <v>0</v>
      </c>
      <c r="X10" s="19">
        <f t="shared" si="20"/>
        <v>0</v>
      </c>
      <c r="Y10" s="1">
        <f t="shared" si="21"/>
        <v>0</v>
      </c>
      <c r="Z10" s="18">
        <f t="shared" si="22"/>
        <v>0</v>
      </c>
      <c r="AA10" s="1">
        <f t="shared" si="23"/>
        <v>0</v>
      </c>
      <c r="AB10" s="1">
        <f t="shared" si="24"/>
        <v>0</v>
      </c>
      <c r="AC10" s="18">
        <f t="shared" si="25"/>
        <v>0</v>
      </c>
      <c r="AD10" s="18">
        <f t="shared" si="26"/>
        <v>0</v>
      </c>
      <c r="AE10" s="1">
        <f t="shared" si="27"/>
        <v>0</v>
      </c>
      <c r="AF10" s="1">
        <f t="shared" si="28"/>
        <v>0</v>
      </c>
      <c r="AG10" s="15">
        <f t="shared" si="0"/>
        <v>0</v>
      </c>
      <c r="AH10" s="4">
        <f>IF(A10="EQ",C10,IF(A10="FUT",GetFutureTradeSymbol(B10, C10, AG10),GetOptionTradeSymbol(B10, C10, AG10, E10, F10)))</f>
        <v>0</v>
      </c>
      <c r="AI10" s="4" t="b">
        <f t="shared" si="1"/>
        <v>0</v>
      </c>
      <c r="AJ10" s="4">
        <f t="shared" si="2"/>
        <v>0</v>
      </c>
    </row>
    <row r="11" spans="1:47" ht="15" customHeight="1">
      <c r="A11" s="16" t="s">
        <v>12</v>
      </c>
      <c r="B11" s="16" t="s">
        <v>17</v>
      </c>
      <c r="C11" s="17"/>
      <c r="D11" s="16">
        <v>1</v>
      </c>
      <c r="E11" s="16">
        <v>0</v>
      </c>
      <c r="F11" s="16" t="s">
        <v>13</v>
      </c>
      <c r="G11" s="1">
        <f t="shared" si="3"/>
        <v>0</v>
      </c>
      <c r="H11" s="18">
        <f t="shared" si="4"/>
        <v>0</v>
      </c>
      <c r="I11" s="1">
        <f t="shared" si="5"/>
        <v>0</v>
      </c>
      <c r="J11" s="1">
        <f t="shared" si="6"/>
        <v>0</v>
      </c>
      <c r="K11" s="1">
        <f t="shared" si="7"/>
        <v>0</v>
      </c>
      <c r="L11" s="18">
        <f t="shared" si="8"/>
        <v>0</v>
      </c>
      <c r="M11" s="1">
        <f t="shared" si="9"/>
        <v>0</v>
      </c>
      <c r="N11" s="18">
        <f t="shared" si="10"/>
        <v>0</v>
      </c>
      <c r="O11" s="1">
        <f t="shared" si="11"/>
        <v>0</v>
      </c>
      <c r="P11" s="18">
        <f t="shared" si="12"/>
        <v>0</v>
      </c>
      <c r="Q11" s="18">
        <f t="shared" si="13"/>
        <v>0</v>
      </c>
      <c r="R11" s="18">
        <f t="shared" si="14"/>
        <v>0</v>
      </c>
      <c r="S11" s="18">
        <f t="shared" si="15"/>
        <v>0</v>
      </c>
      <c r="T11" s="1">
        <f t="shared" si="16"/>
        <v>0</v>
      </c>
      <c r="U11" s="1">
        <f t="shared" si="17"/>
        <v>0</v>
      </c>
      <c r="V11" s="1">
        <f t="shared" si="18"/>
        <v>0</v>
      </c>
      <c r="W11" s="1">
        <f t="shared" si="19"/>
        <v>0</v>
      </c>
      <c r="X11" s="19">
        <f t="shared" si="20"/>
        <v>0</v>
      </c>
      <c r="Y11" s="1">
        <f t="shared" si="21"/>
        <v>0</v>
      </c>
      <c r="Z11" s="18">
        <f t="shared" si="22"/>
        <v>0</v>
      </c>
      <c r="AA11" s="1">
        <f t="shared" si="23"/>
        <v>0</v>
      </c>
      <c r="AB11" s="1">
        <f t="shared" si="24"/>
        <v>0</v>
      </c>
      <c r="AC11" s="18">
        <f t="shared" si="25"/>
        <v>0</v>
      </c>
      <c r="AD11" s="18">
        <f t="shared" si="26"/>
        <v>0</v>
      </c>
      <c r="AE11" s="1">
        <f t="shared" si="27"/>
        <v>0</v>
      </c>
      <c r="AF11" s="1">
        <f t="shared" si="28"/>
        <v>0</v>
      </c>
      <c r="AG11" s="15">
        <f t="shared" si="0"/>
        <v>0</v>
      </c>
      <c r="AH11" s="4">
        <f>IF(A11="EQ",C11,IF(A11="FUT",GetFutureTradeSymbol(B11, C11, AG11),GetOptionTradeSymbol(B11, C11, AG11, E11, F11)))</f>
        <v>0</v>
      </c>
      <c r="AI11" s="4" t="b">
        <f t="shared" si="1"/>
        <v>0</v>
      </c>
      <c r="AJ11" s="4">
        <f t="shared" si="2"/>
        <v>0</v>
      </c>
    </row>
    <row r="12" spans="1:47" ht="15" customHeight="1">
      <c r="A12" s="16" t="s">
        <v>12</v>
      </c>
      <c r="B12" s="16" t="s">
        <v>17</v>
      </c>
      <c r="C12" s="17"/>
      <c r="D12" s="16">
        <v>1</v>
      </c>
      <c r="E12" s="16">
        <v>0</v>
      </c>
      <c r="F12" s="16" t="s">
        <v>13</v>
      </c>
      <c r="G12" s="1">
        <f t="shared" si="3"/>
        <v>0</v>
      </c>
      <c r="H12" s="18">
        <f t="shared" si="4"/>
        <v>0</v>
      </c>
      <c r="I12" s="1">
        <f t="shared" si="5"/>
        <v>0</v>
      </c>
      <c r="J12" s="1">
        <f t="shared" si="6"/>
        <v>0</v>
      </c>
      <c r="K12" s="1">
        <f t="shared" si="7"/>
        <v>0</v>
      </c>
      <c r="L12" s="18">
        <f t="shared" si="8"/>
        <v>0</v>
      </c>
      <c r="M12" s="1">
        <f t="shared" si="9"/>
        <v>0</v>
      </c>
      <c r="N12" s="18">
        <f t="shared" si="10"/>
        <v>0</v>
      </c>
      <c r="O12" s="1">
        <f t="shared" si="11"/>
        <v>0</v>
      </c>
      <c r="P12" s="18">
        <f t="shared" si="12"/>
        <v>0</v>
      </c>
      <c r="Q12" s="18">
        <f t="shared" si="13"/>
        <v>0</v>
      </c>
      <c r="R12" s="18">
        <f t="shared" si="14"/>
        <v>0</v>
      </c>
      <c r="S12" s="18">
        <f t="shared" si="15"/>
        <v>0</v>
      </c>
      <c r="T12" s="1">
        <f t="shared" si="16"/>
        <v>0</v>
      </c>
      <c r="U12" s="1">
        <f t="shared" si="17"/>
        <v>0</v>
      </c>
      <c r="V12" s="1">
        <f t="shared" si="18"/>
        <v>0</v>
      </c>
      <c r="W12" s="1">
        <f t="shared" si="19"/>
        <v>0</v>
      </c>
      <c r="X12" s="19">
        <f t="shared" si="20"/>
        <v>0</v>
      </c>
      <c r="Y12" s="1">
        <f t="shared" si="21"/>
        <v>0</v>
      </c>
      <c r="Z12" s="18">
        <f t="shared" si="22"/>
        <v>0</v>
      </c>
      <c r="AA12" s="1">
        <f t="shared" si="23"/>
        <v>0</v>
      </c>
      <c r="AB12" s="1">
        <f t="shared" si="24"/>
        <v>0</v>
      </c>
      <c r="AC12" s="18">
        <f t="shared" si="25"/>
        <v>0</v>
      </c>
      <c r="AD12" s="18">
        <f t="shared" si="26"/>
        <v>0</v>
      </c>
      <c r="AE12" s="1">
        <f t="shared" si="27"/>
        <v>0</v>
      </c>
      <c r="AF12" s="1">
        <f t="shared" si="28"/>
        <v>0</v>
      </c>
      <c r="AG12" s="15">
        <f t="shared" si="0"/>
        <v>0</v>
      </c>
      <c r="AH12" s="4">
        <f>IF(A12="EQ",C12,IF(A12="FUT",GetFutureTradeSymbol(B12, C12, AG12),GetOptionTradeSymbol(B12, C12, AG12, E12, F12)))</f>
        <v>0</v>
      </c>
      <c r="AI12" s="4" t="b">
        <f t="shared" si="1"/>
        <v>0</v>
      </c>
      <c r="AJ12" s="4">
        <f t="shared" si="2"/>
        <v>0</v>
      </c>
    </row>
    <row r="13" spans="1:47" ht="15" customHeight="1">
      <c r="A13" s="16" t="s">
        <v>12</v>
      </c>
      <c r="B13" s="16" t="s">
        <v>17</v>
      </c>
      <c r="C13" s="17"/>
      <c r="D13" s="16">
        <v>1</v>
      </c>
      <c r="E13" s="16">
        <v>0</v>
      </c>
      <c r="F13" s="16" t="s">
        <v>13</v>
      </c>
      <c r="G13" s="1">
        <f t="shared" si="3"/>
        <v>0</v>
      </c>
      <c r="H13" s="18">
        <f t="shared" si="4"/>
        <v>0</v>
      </c>
      <c r="I13" s="1">
        <f t="shared" si="5"/>
        <v>0</v>
      </c>
      <c r="J13" s="1">
        <f t="shared" si="6"/>
        <v>0</v>
      </c>
      <c r="K13" s="1">
        <f t="shared" si="7"/>
        <v>0</v>
      </c>
      <c r="L13" s="18">
        <f t="shared" si="8"/>
        <v>0</v>
      </c>
      <c r="M13" s="1">
        <f t="shared" si="9"/>
        <v>0</v>
      </c>
      <c r="N13" s="18">
        <f t="shared" si="10"/>
        <v>0</v>
      </c>
      <c r="O13" s="1">
        <f t="shared" si="11"/>
        <v>0</v>
      </c>
      <c r="P13" s="18">
        <f t="shared" si="12"/>
        <v>0</v>
      </c>
      <c r="Q13" s="18">
        <f t="shared" si="13"/>
        <v>0</v>
      </c>
      <c r="R13" s="18">
        <f t="shared" si="14"/>
        <v>0</v>
      </c>
      <c r="S13" s="18">
        <f t="shared" si="15"/>
        <v>0</v>
      </c>
      <c r="T13" s="1">
        <f t="shared" si="16"/>
        <v>0</v>
      </c>
      <c r="U13" s="1">
        <f t="shared" si="17"/>
        <v>0</v>
      </c>
      <c r="V13" s="1">
        <f t="shared" si="18"/>
        <v>0</v>
      </c>
      <c r="W13" s="1">
        <f t="shared" si="19"/>
        <v>0</v>
      </c>
      <c r="X13" s="19">
        <f t="shared" si="20"/>
        <v>0</v>
      </c>
      <c r="Y13" s="1">
        <f t="shared" si="21"/>
        <v>0</v>
      </c>
      <c r="Z13" s="18">
        <f t="shared" si="22"/>
        <v>0</v>
      </c>
      <c r="AA13" s="1">
        <f t="shared" si="23"/>
        <v>0</v>
      </c>
      <c r="AB13" s="1">
        <f t="shared" si="24"/>
        <v>0</v>
      </c>
      <c r="AC13" s="18">
        <f t="shared" si="25"/>
        <v>0</v>
      </c>
      <c r="AD13" s="18">
        <f t="shared" si="26"/>
        <v>0</v>
      </c>
      <c r="AE13" s="1">
        <f t="shared" si="27"/>
        <v>0</v>
      </c>
      <c r="AF13" s="1">
        <f t="shared" si="28"/>
        <v>0</v>
      </c>
      <c r="AG13" s="15">
        <f t="shared" si="0"/>
        <v>0</v>
      </c>
      <c r="AH13" s="4">
        <f>IF(A13="EQ",C13,IF(A13="FUT",GetFutureTradeSymbol(B13, C13, AG13),GetOptionTradeSymbol(B13, C13, AG13, E13, F13)))</f>
        <v>0</v>
      </c>
      <c r="AI13" s="4" t="b">
        <f t="shared" si="1"/>
        <v>0</v>
      </c>
      <c r="AJ13" s="4">
        <f t="shared" si="2"/>
        <v>0</v>
      </c>
    </row>
    <row r="14" spans="1:47" ht="15" customHeight="1">
      <c r="A14" s="16" t="s">
        <v>12</v>
      </c>
      <c r="B14" s="16" t="s">
        <v>17</v>
      </c>
      <c r="C14" s="17"/>
      <c r="D14" s="16">
        <v>1</v>
      </c>
      <c r="E14" s="16">
        <v>0</v>
      </c>
      <c r="F14" s="16" t="s">
        <v>13</v>
      </c>
      <c r="G14" s="1">
        <f t="shared" si="3"/>
        <v>0</v>
      </c>
      <c r="H14" s="18">
        <f t="shared" si="4"/>
        <v>0</v>
      </c>
      <c r="I14" s="1">
        <f t="shared" si="5"/>
        <v>0</v>
      </c>
      <c r="J14" s="1">
        <f t="shared" si="6"/>
        <v>0</v>
      </c>
      <c r="K14" s="1">
        <f t="shared" si="7"/>
        <v>0</v>
      </c>
      <c r="L14" s="18">
        <f t="shared" si="8"/>
        <v>0</v>
      </c>
      <c r="M14" s="1">
        <f t="shared" si="9"/>
        <v>0</v>
      </c>
      <c r="N14" s="18">
        <f t="shared" si="10"/>
        <v>0</v>
      </c>
      <c r="O14" s="1">
        <f t="shared" si="11"/>
        <v>0</v>
      </c>
      <c r="P14" s="18">
        <f t="shared" si="12"/>
        <v>0</v>
      </c>
      <c r="Q14" s="18">
        <f t="shared" si="13"/>
        <v>0</v>
      </c>
      <c r="R14" s="18">
        <f t="shared" si="14"/>
        <v>0</v>
      </c>
      <c r="S14" s="18">
        <f t="shared" si="15"/>
        <v>0</v>
      </c>
      <c r="T14" s="1">
        <f t="shared" si="16"/>
        <v>0</v>
      </c>
      <c r="U14" s="1">
        <f t="shared" si="17"/>
        <v>0</v>
      </c>
      <c r="V14" s="1">
        <f t="shared" si="18"/>
        <v>0</v>
      </c>
      <c r="W14" s="1">
        <f t="shared" si="19"/>
        <v>0</v>
      </c>
      <c r="X14" s="19">
        <f t="shared" si="20"/>
        <v>0</v>
      </c>
      <c r="Y14" s="1">
        <f t="shared" si="21"/>
        <v>0</v>
      </c>
      <c r="Z14" s="18">
        <f t="shared" si="22"/>
        <v>0</v>
      </c>
      <c r="AA14" s="1">
        <f t="shared" si="23"/>
        <v>0</v>
      </c>
      <c r="AB14" s="1">
        <f t="shared" si="24"/>
        <v>0</v>
      </c>
      <c r="AC14" s="18">
        <f t="shared" si="25"/>
        <v>0</v>
      </c>
      <c r="AD14" s="18">
        <f t="shared" si="26"/>
        <v>0</v>
      </c>
      <c r="AE14" s="1">
        <f t="shared" si="27"/>
        <v>0</v>
      </c>
      <c r="AF14" s="1">
        <f t="shared" si="28"/>
        <v>0</v>
      </c>
      <c r="AG14" s="15">
        <f t="shared" si="0"/>
        <v>0</v>
      </c>
      <c r="AH14" s="4">
        <f>IF(A14="EQ",C14,IF(A14="FUT",GetFutureTradeSymbol(B14, C14, AG14),GetOptionTradeSymbol(B14, C14, AG14, E14, F14)))</f>
        <v>0</v>
      </c>
      <c r="AI14" s="4" t="b">
        <f t="shared" si="1"/>
        <v>0</v>
      </c>
      <c r="AJ14" s="4">
        <f t="shared" si="2"/>
        <v>0</v>
      </c>
    </row>
    <row r="15" spans="1:47" ht="15" customHeight="1">
      <c r="A15" s="16" t="s">
        <v>12</v>
      </c>
      <c r="B15" s="16" t="s">
        <v>17</v>
      </c>
      <c r="C15" s="17"/>
      <c r="D15" s="16">
        <v>1</v>
      </c>
      <c r="E15" s="16">
        <v>0</v>
      </c>
      <c r="F15" s="16" t="s">
        <v>13</v>
      </c>
      <c r="G15" s="1">
        <f t="shared" si="3"/>
        <v>0</v>
      </c>
      <c r="H15" s="18">
        <f t="shared" si="4"/>
        <v>0</v>
      </c>
      <c r="I15" s="1">
        <f t="shared" si="5"/>
        <v>0</v>
      </c>
      <c r="J15" s="1">
        <f t="shared" si="6"/>
        <v>0</v>
      </c>
      <c r="K15" s="1">
        <f t="shared" si="7"/>
        <v>0</v>
      </c>
      <c r="L15" s="18">
        <f t="shared" si="8"/>
        <v>0</v>
      </c>
      <c r="M15" s="1">
        <f t="shared" si="9"/>
        <v>0</v>
      </c>
      <c r="N15" s="18">
        <f t="shared" si="10"/>
        <v>0</v>
      </c>
      <c r="O15" s="1">
        <f t="shared" si="11"/>
        <v>0</v>
      </c>
      <c r="P15" s="18">
        <f t="shared" si="12"/>
        <v>0</v>
      </c>
      <c r="Q15" s="18">
        <f t="shared" si="13"/>
        <v>0</v>
      </c>
      <c r="R15" s="18">
        <f t="shared" si="14"/>
        <v>0</v>
      </c>
      <c r="S15" s="18">
        <f t="shared" si="15"/>
        <v>0</v>
      </c>
      <c r="T15" s="1">
        <f t="shared" si="16"/>
        <v>0</v>
      </c>
      <c r="U15" s="1">
        <f t="shared" si="17"/>
        <v>0</v>
      </c>
      <c r="V15" s="1">
        <f t="shared" si="18"/>
        <v>0</v>
      </c>
      <c r="W15" s="1">
        <f t="shared" si="19"/>
        <v>0</v>
      </c>
      <c r="X15" s="19">
        <f t="shared" si="20"/>
        <v>0</v>
      </c>
      <c r="Y15" s="1">
        <f t="shared" si="21"/>
        <v>0</v>
      </c>
      <c r="Z15" s="18">
        <f t="shared" si="22"/>
        <v>0</v>
      </c>
      <c r="AA15" s="1">
        <f t="shared" si="23"/>
        <v>0</v>
      </c>
      <c r="AB15" s="1">
        <f t="shared" si="24"/>
        <v>0</v>
      </c>
      <c r="AC15" s="18">
        <f t="shared" si="25"/>
        <v>0</v>
      </c>
      <c r="AD15" s="18">
        <f t="shared" si="26"/>
        <v>0</v>
      </c>
      <c r="AE15" s="1">
        <f t="shared" si="27"/>
        <v>0</v>
      </c>
      <c r="AF15" s="1">
        <f t="shared" si="28"/>
        <v>0</v>
      </c>
      <c r="AG15" s="15">
        <f t="shared" si="0"/>
        <v>0</v>
      </c>
      <c r="AH15" s="4">
        <f>IF(A15="EQ",C15,IF(A15="FUT",GetFutureTradeSymbol(B15, C15, AG15),GetOptionTradeSymbol(B15, C15, AG15, E15, F15)))</f>
        <v>0</v>
      </c>
      <c r="AI15" s="4" t="b">
        <f t="shared" si="1"/>
        <v>0</v>
      </c>
      <c r="AJ15" s="4">
        <f t="shared" si="2"/>
        <v>0</v>
      </c>
    </row>
    <row r="16" spans="1:47" ht="15" customHeight="1">
      <c r="A16" s="16" t="s">
        <v>12</v>
      </c>
      <c r="B16" s="16" t="s">
        <v>17</v>
      </c>
      <c r="C16" s="17"/>
      <c r="D16" s="16">
        <v>1</v>
      </c>
      <c r="E16" s="16">
        <v>0</v>
      </c>
      <c r="F16" s="16" t="s">
        <v>13</v>
      </c>
      <c r="G16" s="1">
        <f t="shared" si="3"/>
        <v>0</v>
      </c>
      <c r="H16" s="18">
        <f t="shared" si="4"/>
        <v>0</v>
      </c>
      <c r="I16" s="1">
        <f t="shared" si="5"/>
        <v>0</v>
      </c>
      <c r="J16" s="1">
        <f t="shared" si="6"/>
        <v>0</v>
      </c>
      <c r="K16" s="1">
        <f t="shared" si="7"/>
        <v>0</v>
      </c>
      <c r="L16" s="18">
        <f t="shared" si="8"/>
        <v>0</v>
      </c>
      <c r="M16" s="1">
        <f t="shared" si="9"/>
        <v>0</v>
      </c>
      <c r="N16" s="18">
        <f t="shared" si="10"/>
        <v>0</v>
      </c>
      <c r="O16" s="1">
        <f t="shared" si="11"/>
        <v>0</v>
      </c>
      <c r="P16" s="18">
        <f t="shared" si="12"/>
        <v>0</v>
      </c>
      <c r="Q16" s="18">
        <f t="shared" si="13"/>
        <v>0</v>
      </c>
      <c r="R16" s="18">
        <f t="shared" si="14"/>
        <v>0</v>
      </c>
      <c r="S16" s="18">
        <f t="shared" si="15"/>
        <v>0</v>
      </c>
      <c r="T16" s="1">
        <f t="shared" si="16"/>
        <v>0</v>
      </c>
      <c r="U16" s="1">
        <f t="shared" si="17"/>
        <v>0</v>
      </c>
      <c r="V16" s="1">
        <f t="shared" si="18"/>
        <v>0</v>
      </c>
      <c r="W16" s="1">
        <f t="shared" si="19"/>
        <v>0</v>
      </c>
      <c r="X16" s="19">
        <f t="shared" si="20"/>
        <v>0</v>
      </c>
      <c r="Y16" s="1">
        <f t="shared" si="21"/>
        <v>0</v>
      </c>
      <c r="Z16" s="18">
        <f t="shared" si="22"/>
        <v>0</v>
      </c>
      <c r="AA16" s="1">
        <f t="shared" si="23"/>
        <v>0</v>
      </c>
      <c r="AB16" s="1">
        <f t="shared" si="24"/>
        <v>0</v>
      </c>
      <c r="AC16" s="18">
        <f t="shared" si="25"/>
        <v>0</v>
      </c>
      <c r="AD16" s="18">
        <f t="shared" si="26"/>
        <v>0</v>
      </c>
      <c r="AE16" s="1">
        <f t="shared" si="27"/>
        <v>0</v>
      </c>
      <c r="AF16" s="1">
        <f t="shared" si="28"/>
        <v>0</v>
      </c>
      <c r="AG16" s="15">
        <f t="shared" si="0"/>
        <v>0</v>
      </c>
      <c r="AH16" s="4">
        <f>IF(A16="EQ",C16,IF(A16="FUT",GetFutureTradeSymbol(B16, C16, AG16),GetOptionTradeSymbol(B16, C16, AG16, E16, F16)))</f>
        <v>0</v>
      </c>
      <c r="AI16" s="4" t="b">
        <f t="shared" si="1"/>
        <v>0</v>
      </c>
      <c r="AJ16" s="4">
        <f t="shared" si="2"/>
        <v>0</v>
      </c>
    </row>
    <row r="18" spans="1:47" ht="15" customHeight="1">
      <c r="A18" s="6"/>
      <c r="B18" s="6"/>
      <c r="C18" s="7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</row>
    <row r="19" spans="1:47" ht="1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</row>
    <row r="20" spans="1:47" ht="1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</row>
    <row r="21" spans="1:47" ht="1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</row>
    <row r="22" spans="1:47" ht="1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</row>
    <row r="23" spans="1:47" ht="1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</row>
    <row r="24" spans="1:47" ht="1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</row>
    <row r="25" spans="1:47" ht="1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</row>
    <row r="26" spans="1:47" ht="1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</row>
    <row r="27" spans="1:47" ht="1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</row>
    <row r="28" spans="1:47" ht="1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</row>
    <row r="29" spans="1:47" ht="1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</row>
    <row r="30" spans="1:47" ht="1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</row>
    <row r="31" spans="1:47" ht="1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</row>
    <row r="32" spans="1:47" ht="1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</row>
    <row r="33" spans="1:47" ht="1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</row>
    <row r="34" spans="1:47" ht="1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</row>
    <row r="35" spans="1:47" ht="1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</row>
    <row r="36" spans="1:47" ht="1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</row>
    <row r="37" spans="1:47" ht="1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</row>
    <row r="38" spans="1:47" ht="1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</row>
    <row r="39" spans="1:47" ht="1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</row>
    <row r="40" spans="1:47" ht="1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</row>
    <row r="41" spans="1:47" ht="1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</row>
    <row r="42" spans="1:47" ht="1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</row>
    <row r="43" spans="1:47" ht="1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</row>
    <row r="44" spans="1:47" ht="1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</row>
    <row r="45" spans="1:47" ht="1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</row>
    <row r="46" spans="1:47" ht="1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</row>
    <row r="47" spans="1:47" ht="1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</row>
    <row r="48" spans="1:47" ht="15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</row>
  </sheetData>
  <sheetProtection sheet="1" objects="1" scenarios="1"/>
  <conditionalFormatting sqref="G2:G16">
    <cfRule type="expression" dxfId="1" priority="1">
      <formula>AJ2=-1</formula>
    </cfRule>
    <cfRule type="expression" dxfId="0" priority="2">
      <formula>AJ2=1</formula>
    </cfRule>
  </conditionalFormatting>
  <dataValidations count="5">
    <dataValidation type="list" allowBlank="1" showInputMessage="1" showErrorMessage="1" sqref="A2:A16">
      <formula1>"EQ,FUT,OPT"</formula1>
    </dataValidation>
    <dataValidation type="list" allowBlank="1" showInputMessage="1" showErrorMessage="1" sqref="B2:B16">
      <formula1>"NSE,NFO,CDS,BSE"</formula1>
    </dataValidation>
    <dataValidation type="list" allowBlank="1" showInputMessage="1" showErrorMessage="1" sqref="D2:D16">
      <formula1>"1,2,3,4,5,6,7"</formula1>
    </dataValidation>
    <dataValidation type="decimal" allowBlank="1" showInputMessage="1" showErrorMessage="1" sqref="E2:E16">
      <formula1>0</formula1>
      <formula2>500000</formula2>
    </dataValidation>
    <dataValidation type="list" allowBlank="1" showInputMessage="1" showErrorMessage="1" sqref="F2:F16">
      <formula1>"CE,PE"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STATUS</vt:lpstr>
      <vt:lpstr>MARKET_WATCH</vt:lpstr>
      <vt:lpstr>PING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Tech-PC</dc:creator>
  <cp:lastModifiedBy>EC2</cp:lastModifiedBy>
  <dcterms:created xsi:type="dcterms:W3CDTF">2006-09-16T00:00:00Z</dcterms:created>
  <dcterms:modified xsi:type="dcterms:W3CDTF">2022-06-16T06:37:41Z</dcterms:modified>
</cp:coreProperties>
</file>